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Geometry" sheetId="2" r:id="rId5"/>
    <sheet state="visible" name="Loads" sheetId="3" r:id="rId6"/>
    <sheet state="visible" name="Validation" sheetId="4" r:id="rId7"/>
    <sheet state="visible" name="CAD dims" sheetId="5" r:id="rId8"/>
    <sheet state="visible" name="Actuators" sheetId="6" r:id="rId9"/>
    <sheet state="visible" name="Original work" sheetId="7" r:id="rId10"/>
  </sheets>
  <definedNames/>
  <calcPr/>
  <extLst>
    <ext uri="GoogleSheetsCustomDataVersion2">
      <go:sheetsCustomData xmlns:go="http://customooxmlschemas.google.com/" r:id="rId11" roundtripDataChecksum="Q69qdF/7g8JU3C+XE2YHVJQT9x8dnoIOxuipplbsXz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0">
      <text>
        <t xml:space="preserve">======
ID#AAACHrMC74A
Henry Nickless    (2026-09-28 22:04:45)
check / change</t>
      </text>
    </comment>
  </commentList>
  <extLst>
    <ext uri="GoogleSheetsCustomDataVersion2">
      <go:sheetsCustomData xmlns:go="http://customooxmlschemas.google.com/" r:id="rId1" roundtripDataSignature="AMtx7mgJpjOW+6XBM80Drc0vBdYKkp9S3Q=="/>
    </ext>
  </extLst>
</comments>
</file>

<file path=xl/sharedStrings.xml><?xml version="1.0" encoding="utf-8"?>
<sst xmlns="http://schemas.openxmlformats.org/spreadsheetml/2006/main" count="906" uniqueCount="518">
  <si>
    <t>fu</t>
  </si>
  <si>
    <t>Rose cells are inputs. Gray cells marked CONFIRM are placeholders to replace. White cells are formulas. Gimbal at origin, y up, mm.</t>
  </si>
  <si>
    <t>Parameter</t>
  </si>
  <si>
    <t>Value</t>
  </si>
  <si>
    <t>Unit</t>
  </si>
  <si>
    <t>Note / source</t>
  </si>
  <si>
    <t>Chart data (auto) for the layout plot</t>
  </si>
  <si>
    <t>Mount locations</t>
  </si>
  <si>
    <t>Chamber outline</t>
  </si>
  <si>
    <t>Chamber outline (mirror)</t>
  </si>
  <si>
    <t>Chamber axis</t>
  </si>
  <si>
    <t>Actuator, neutral</t>
  </si>
  <si>
    <t>Actuator at +max angle</t>
  </si>
  <si>
    <t>Actuator at −max angle</t>
  </si>
  <si>
    <t>6 in limit</t>
  </si>
  <si>
    <t>6 in limit (mirror)</t>
  </si>
  <si>
    <t>Gimbal</t>
  </si>
  <si>
    <t>Actuator rear pin, radial (A x)</t>
  </si>
  <si>
    <t>mm</t>
  </si>
  <si>
    <t>max dia 300 / 2</t>
  </si>
  <si>
    <t>x</t>
  </si>
  <si>
    <t>y</t>
  </si>
  <si>
    <t>Actuator rear pin, axial (A y)</t>
  </si>
  <si>
    <t>Above the gimbal is +</t>
  </si>
  <si>
    <t>Geometry validation and max achievable angle</t>
  </si>
  <si>
    <t>Checks the one design on Inputs. Angle search: 0.25° steps out to 30° each way, one axis at a time (table from row 42).</t>
  </si>
  <si>
    <t>Chart data (auto)</t>
  </si>
  <si>
    <t>Actuator travel</t>
  </si>
  <si>
    <t>Gimbal torques and actuator forces</t>
  </si>
  <si>
    <t>Angle (deg)</t>
  </si>
  <si>
    <t>Envelope radius</t>
  </si>
  <si>
    <t>Clearance margin</t>
  </si>
  <si>
    <t>Zero</t>
  </si>
  <si>
    <t>Actuator</t>
  </si>
  <si>
    <t>Derived</t>
  </si>
  <si>
    <t>Thrust</t>
  </si>
  <si>
    <t>N</t>
  </si>
  <si>
    <t>Required (× margin)</t>
  </si>
  <si>
    <t>Selected actuator rating</t>
  </si>
  <si>
    <t>Engine-side mass</t>
  </si>
  <si>
    <t>Actuator kinematics vs gimbal angle</t>
  </si>
  <si>
    <t>Quantity</t>
  </si>
  <si>
    <t>Chamber pin, axial (P y)</t>
  </si>
  <si>
    <t>kg</t>
  </si>
  <si>
    <t>Allowed pad stations: −260.7 to −74.0</t>
  </si>
  <si>
    <t>Running</t>
  </si>
  <si>
    <t>Min angle</t>
  </si>
  <si>
    <t>Inertia about gimbal  m·d² + m·L²/12</t>
  </si>
  <si>
    <t>Neutral</t>
  </si>
  <si>
    <t>Dead length (retracted − stroke)</t>
  </si>
  <si>
    <t>Max angle</t>
  </si>
  <si>
    <t>Gimbal angle θ</t>
  </si>
  <si>
    <t>kg*m^2</t>
  </si>
  <si>
    <t>Holding</t>
  </si>
  <si>
    <t>deg</t>
  </si>
  <si>
    <t>Running load (moving)</t>
  </si>
  <si>
    <t>Body width</t>
  </si>
  <si>
    <t>Pin-to-pin L</t>
  </si>
  <si>
    <t>Usable min</t>
  </si>
  <si>
    <t>Usable max</t>
  </si>
  <si>
    <t>Moment arm</t>
  </si>
  <si>
    <t>θ</t>
  </si>
  <si>
    <t>Gimbal angle</t>
  </si>
  <si>
    <t>Inertia  I·α</t>
  </si>
  <si>
    <t>Rod diameter</t>
  </si>
  <si>
    <t>Chamber outer radius at pad station</t>
  </si>
  <si>
    <t>N*m</t>
  </si>
  <si>
    <t>Pendulum  m·a·d·sin|θ|</t>
  </si>
  <si>
    <t>rad</t>
  </si>
  <si>
    <t>Catalog stroke range</t>
  </si>
  <si>
    <t>Pad thickness</t>
  </si>
  <si>
    <t>Per clevis drawing</t>
  </si>
  <si>
    <t>Bearing friction  μ·T·r_b</t>
  </si>
  <si>
    <t>Pin-to-pin length at neutral</t>
  </si>
  <si>
    <t>Misalignment, offset  T·e</t>
  </si>
  <si>
    <t>Pin height above pad</t>
  </si>
  <si>
    <t>Rod eye head clearance; per clevis drawing</t>
  </si>
  <si>
    <t>Misalignment, angle  T·sinδ·d_throat</t>
  </si>
  <si>
    <t>Stroke used</t>
  </si>
  <si>
    <t>Chamber pin, radial (P x)</t>
  </si>
  <si>
    <t>Formula: chamber radius + pad + pin height</t>
  </si>
  <si>
    <t>Motion requirements</t>
  </si>
  <si>
    <t>Hose (linear in angle)</t>
  </si>
  <si>
    <t>Required gimbal angle (per axis, ±)</t>
  </si>
  <si>
    <t>Max gimbal rate</t>
  </si>
  <si>
    <t>deg/s</t>
  </si>
  <si>
    <t>Max gimbal angular accel</t>
  </si>
  <si>
    <t>deg/s^2</t>
  </si>
  <si>
    <t>Engine and vehicle</t>
  </si>
  <si>
    <t>lbf</t>
  </si>
  <si>
    <t>Engine-side (gimbaled) mass</t>
  </si>
  <si>
    <t>lb</t>
  </si>
  <si>
    <t>CG distance below gimbal</t>
  </si>
  <si>
    <t>Gimbal to throat</t>
  </si>
  <si>
    <t>Gimbal to nozzle exit</t>
  </si>
  <si>
    <t>Running torque total</t>
  </si>
  <si>
    <t>Max vehicle acceleration</t>
  </si>
  <si>
    <t>Retracted pin-to-pin</t>
  </si>
  <si>
    <t>g</t>
  </si>
  <si>
    <t>CONFIRM: 1 for test stand; flight = T / burnout mass</t>
  </si>
  <si>
    <t>Chamber pin x (rotated)</t>
  </si>
  <si>
    <t>Load assumptions</t>
  </si>
  <si>
    <t>Gimbal bearing radius</t>
  </si>
  <si>
    <t xml:space="preserve">CONFIRM: </t>
  </si>
  <si>
    <t>Gimbal bearing friction coefficient</t>
  </si>
  <si>
    <t>-</t>
  </si>
  <si>
    <t>CONFIRM: PTFE-lined ~0.05–0.1, greased steel ~0.1–0.2</t>
  </si>
  <si>
    <t>Moment arm |dL/dθ|</t>
  </si>
  <si>
    <t>Thrust misalignment, offset</t>
  </si>
  <si>
    <t>Thrust misalignment, angle</t>
  </si>
  <si>
    <t>Startup side load fraction</t>
  </si>
  <si>
    <t>of T</t>
  </si>
  <si>
    <t>CONFIRM: Applied at nozzle exit</t>
  </si>
  <si>
    <t>Extended pin-to-pin</t>
  </si>
  <si>
    <t>Hose torque at max angle</t>
  </si>
  <si>
    <t>CONFIRM: Needs line specs or a bend test</t>
  </si>
  <si>
    <t>Load uncertainty margin</t>
  </si>
  <si>
    <t>Actuator (exact name from Actuators tab)</t>
  </si>
  <si>
    <t>IMA33-RN04 (1-stack)</t>
  </si>
  <si>
    <t>Stroke to order (0 = auto-center neutral)</t>
  </si>
  <si>
    <t>Enter the catalog stroke once chosen</t>
  </si>
  <si>
    <t>Overtravel margin at each end of stroke</t>
  </si>
  <si>
    <t>Keeps the actuator off its internal stops</t>
  </si>
  <si>
    <t>Pin-to-pin length adder over catalog length</t>
  </si>
  <si>
    <t>CONFIRM: Rod eye / rear clevis length if catalog lengths aren't pin-to-pin — check drawing</t>
  </si>
  <si>
    <t>Usable length min (with overtravel margin)</t>
  </si>
  <si>
    <t>Exposed rod + rod eye when fully retracted</t>
  </si>
  <si>
    <t>CONFIRM: Body length ≈ retracted pin-to-pin − this — check drawing</t>
  </si>
  <si>
    <t>Envelope and clearance</t>
  </si>
  <si>
    <t>m/rad</t>
  </si>
  <si>
    <t>Running force</t>
  </si>
  <si>
    <t>Max radius from vehicle centerline</t>
  </si>
  <si>
    <t>Nothing may pass this at any gimbal angle</t>
  </si>
  <si>
    <t>Min clearance, actuator to chamber</t>
  </si>
  <si>
    <t>Zone near chamber pin ignored for clearance</t>
  </si>
  <si>
    <t>Rod eye / clevis region, contact there is by design</t>
  </si>
  <si>
    <t>Rod eye head radius</t>
  </si>
  <si>
    <t>CONFIRM: ≈Ø42 SRE head; confirm from Tolomatic CAD</t>
  </si>
  <si>
    <t>Running force × margin</t>
  </si>
  <si>
    <t>Joint hardware and materials (CAD dims tab)</t>
  </si>
  <si>
    <t>Chamber rod end</t>
  </si>
  <si>
    <t>Tolomatic SRE (IMA33)</t>
  </si>
  <si>
    <t>Usable length max (with overtravel margin)</t>
  </si>
  <si>
    <t>Pick from the list (catalog on CAD dims tab)</t>
  </si>
  <si>
    <t>Structural factor of safety (yield)</t>
  </si>
  <si>
    <t>Applied on top of the limit load</t>
  </si>
  <si>
    <t>Rod eye head clearance to pad</t>
  </si>
  <si>
    <t>Sets pin height: head radius + this</t>
  </si>
  <si>
    <t>Spacer each side of rod end ball</t>
  </si>
  <si>
    <t>0 = lugs clamp the ball faces directly</t>
  </si>
  <si>
    <t>Body length from rear pin</t>
  </si>
  <si>
    <t>Chamber lug thickness (each)</t>
  </si>
  <si>
    <t>Chamber lug ligament (material around hole)</t>
  </si>
  <si>
    <t>Sets lug end radius and width</t>
  </si>
  <si>
    <t>Chamber lug root length along axis</t>
  </si>
  <si>
    <t>Lug-to-pad fillet radius</t>
  </si>
  <si>
    <t>Holding load (startup, at neutral)</t>
  </si>
  <si>
    <t>Chamber lug material yield, room temp (GRCop-42 HIP)</t>
  </si>
  <si>
    <t>MPa</t>
  </si>
  <si>
    <t>Datasheet, 27 ksi</t>
  </si>
  <si>
    <t>Chamber pin y (rotated)</t>
  </si>
  <si>
    <t>Temperature knockdown at lug (hot / RT yield)</t>
  </si>
  <si>
    <t>Startup side load torque  f·T·d_exit</t>
  </si>
  <si>
    <t>CONFIRM: Read from NASA GRCop-42 yield vs temperature at the lug temperature</t>
  </si>
  <si>
    <t>Bearing yield ratio F_bry / F_ty</t>
  </si>
  <si>
    <t>1.0 is conservative with no bearing data</t>
  </si>
  <si>
    <t>Pin yield (A286 aged)</t>
  </si>
  <si>
    <t>CONFIRM: About 95 ksi; confirm with supplier</t>
  </si>
  <si>
    <t>Rod end shank thread yield</t>
  </si>
  <si>
    <t>CONFIRM: Class 8.8 equivalent; confirm rod end material</t>
  </si>
  <si>
    <t>Misalignment (offset + angle)</t>
  </si>
  <si>
    <t>Min thread engagement (× thread diameter)</t>
  </si>
  <si>
    <t>Max achievable angle</t>
  </si>
  <si>
    <t>Actuator rear clevis gap</t>
  </si>
  <si>
    <t>CONFIRM: From Tolomatic rear clevis drawing</t>
  </si>
  <si>
    <t>Rear tongue side clearance (total)</t>
  </si>
  <si>
    <t>Rear tongue ligament (material around hole)</t>
  </si>
  <si>
    <t>Holding torque total</t>
  </si>
  <si>
    <t>Rear tongue material yield (6061-T6)</t>
  </si>
  <si>
    <t>CONFIRM: About 35 ksi; change if steel</t>
  </si>
  <si>
    <t>Constants</t>
  </si>
  <si>
    <t>Moment arm at neutral</t>
  </si>
  <si>
    <t>Standard gravity</t>
  </si>
  <si>
    <t>m/s^2</t>
  </si>
  <si>
    <t>Max angle, positive direction</t>
  </si>
  <si>
    <t>lbf to N</t>
  </si>
  <si>
    <t>N/lbf</t>
  </si>
  <si>
    <t>lb to kg</t>
  </si>
  <si>
    <t>kg/lb</t>
  </si>
  <si>
    <t>Chamber outer profile (used for swing and clearance checks)</t>
  </si>
  <si>
    <t>Holding force</t>
  </si>
  <si>
    <t>Profile point</t>
  </si>
  <si>
    <t>Distance below gimbal (mm)</t>
  </si>
  <si>
    <t>Outer radius (mm)</t>
  </si>
  <si>
    <t>Note</t>
  </si>
  <si>
    <t>Injector / flange</t>
  </si>
  <si>
    <t>Holding force × margin</t>
  </si>
  <si>
    <t>Outer surface incl. regen jacket and anything that sticks out — from CAD</t>
  </si>
  <si>
    <t>Chamber barrel</t>
  </si>
  <si>
    <t>Throat</t>
  </si>
  <si>
    <t>Nozzle exit</t>
  </si>
  <si>
    <t>Other (valve, bracket) — 0 = unused</t>
  </si>
  <si>
    <t>Friction is left out of holding: it resists motion, so omitting it is conservative.</t>
  </si>
  <si>
    <t>Summary (per actuator)</t>
  </si>
  <si>
    <t>Worst running force × margin</t>
  </si>
  <si>
    <t>Actuator length L (pin to pin)</t>
  </si>
  <si>
    <t xml:space="preserve">   limited by</t>
  </si>
  <si>
    <t>Required speed</t>
  </si>
  <si>
    <t>mm/s</t>
  </si>
  <si>
    <t>Max angle, negative direction</t>
  </si>
  <si>
    <t>Stroke from neutral</t>
  </si>
  <si>
    <t>Max symmetric angle (±)</t>
  </si>
  <si>
    <t>Cross product  Ax·Py − Ay·Px</t>
  </si>
  <si>
    <t>Validation check</t>
  </si>
  <si>
    <t>Design value</t>
  </si>
  <si>
    <t>Requirement</t>
  </si>
  <si>
    <t>Status</t>
  </si>
  <si>
    <t>mm^2</t>
  </si>
  <si>
    <t>Neutral length inside actuator travel</t>
  </si>
  <si>
    <t>Max symmetric angle ≥ required</t>
  </si>
  <si>
    <t>dL/dθ  (moment arm, signed)</t>
  </si>
  <si>
    <t>mm/rad</t>
  </si>
  <si>
    <t>Continuous thrust ≥ running force × margin (N)</t>
  </si>
  <si>
    <t>Peak thrust ≥ holding force × margin (N)</t>
  </si>
  <si>
    <t>Dot product  A·P</t>
  </si>
  <si>
    <t>Max speed ≥ required (mm/s)</t>
  </si>
  <si>
    <t>Actuator envelope at neutral ≤ 6 in (mm)</t>
  </si>
  <si>
    <t>Clearance margin to chamber at neutral (mm)</t>
  </si>
  <si>
    <t>d²L/dθ²</t>
  </si>
  <si>
    <t>mm/rad^2</t>
  </si>
  <si>
    <t>Chamber / nozzle radius at required angle ≤ 6 in (mm)</t>
  </si>
  <si>
    <t>OVERALL</t>
  </si>
  <si>
    <t>Gimbal rate ω</t>
  </si>
  <si>
    <t>rad/s</t>
  </si>
  <si>
    <t>Clearance margin = distance from each chamber profile point to the actuator body (or rod, past the body) minus half-width and min clearance. Negative = interference.</t>
  </si>
  <si>
    <t>Envelope = outermost of the body (rear pin to body end, ± width/2) and the rod eye head at the chamber pin.</t>
  </si>
  <si>
    <t>Per-axis only. With both axes at max, total tilt is ~1.41× larger — check nozzle swing at that angle too.</t>
  </si>
  <si>
    <t>Angle table (1 = all constraints OK)</t>
  </si>
  <si>
    <t>Gimbal angular accel α</t>
  </si>
  <si>
    <t>rad/s^2</t>
  </si>
  <si>
    <t>θ (deg)</t>
  </si>
  <si>
    <t>θ (rad)</t>
  </si>
  <si>
    <t>Chamber max radius</t>
  </si>
  <si>
    <t>Chamber OK</t>
  </si>
  <si>
    <t>+θ: pin x</t>
  </si>
  <si>
    <t>+θ: pin y</t>
  </si>
  <si>
    <t>+θ: L</t>
  </si>
  <si>
    <t>+θ: envelope</t>
  </si>
  <si>
    <t>+θ: clearance margin</t>
  </si>
  <si>
    <t>+θ: ALL OK</t>
  </si>
  <si>
    <t>−θ: pin x</t>
  </si>
  <si>
    <t>−θ: pin y</t>
  </si>
  <si>
    <t>−θ: L</t>
  </si>
  <si>
    <t>−θ: envelope</t>
  </si>
  <si>
    <t>−θ: clearance margin</t>
  </si>
  <si>
    <t>−θ: ALL OK</t>
  </si>
  <si>
    <t>Actuator speed  |dL/dθ|·ω</t>
  </si>
  <si>
    <t>Actuator accel, worst  |d²L/dθ²|·ω² + |dL/dθ|·α</t>
  </si>
  <si>
    <t>mm/s^2</t>
  </si>
  <si>
    <t>Final CAD dimensions and joint load checks</t>
  </si>
  <si>
    <t>Every dimension below is driven by Inputs, the selected actuator and the selected rod end. MS = margin of safety (allowable / actual − 1).</t>
  </si>
  <si>
    <t>1. Design load at each pin</t>
  </si>
  <si>
    <t>Item</t>
  </si>
  <si>
    <t>Allowable / limit</t>
  </si>
  <si>
    <t>MS</t>
  </si>
  <si>
    <t>Actuator peak force (the most it can push)</t>
  </si>
  <si>
    <t>Holding force × margin (startup side load)</t>
  </si>
  <si>
    <t>Limit load (largest of the three)</t>
  </si>
  <si>
    <t>Design load P = limit × structural FoS</t>
  </si>
  <si>
    <t>Per chamber lug (clevis splits it), P / 2</t>
  </si>
  <si>
    <t>2. Actuator</t>
  </si>
  <si>
    <t>Model</t>
  </si>
  <si>
    <t>Required actuator speed (max)</t>
  </si>
  <si>
    <t>Stroke to order</t>
  </si>
  <si>
    <t>Validation tab; round to an orderable catalog stroke</t>
  </si>
  <si>
    <t>Neutral pin-to-pin</t>
  </si>
  <si>
    <t>Required actuator accel (max)</t>
  </si>
  <si>
    <t>Rod diameter / female thread</t>
  </si>
  <si>
    <t>Stroke used over ± required angle</t>
  </si>
  <si>
    <t>Rod female thread depth</t>
  </si>
  <si>
    <t>Peak force vs holding × margin</t>
  </si>
  <si>
    <t>Smallest moment arm</t>
  </si>
  <si>
    <t>Holding check uses peak force as a proxy; spec brake for startup</t>
  </si>
  <si>
    <t>Layout passes Validation tab</t>
  </si>
  <si>
    <t>PASS</t>
  </si>
  <si>
    <t>Dimensions are only final once this is OK</t>
  </si>
  <si>
    <t>Continuous force vs running × margin</t>
  </si>
  <si>
    <t>Shortest pin-to-pin length</t>
  </si>
  <si>
    <t>3. Chamber rod end</t>
  </si>
  <si>
    <t>Selected rod end</t>
  </si>
  <si>
    <t>Bore = front pin diameter</t>
  </si>
  <si>
    <t>Longest pin-to-pin length</t>
  </si>
  <si>
    <t>Ball (inner ring) width</t>
  </si>
  <si>
    <t>model</t>
  </si>
  <si>
    <t>cont_kN</t>
  </si>
  <si>
    <t>peak_kN</t>
  </si>
  <si>
    <t>vmax_mm_s</t>
  </si>
  <si>
    <t>stroke_range_mm</t>
  </si>
  <si>
    <t>retracted_min_mm</t>
  </si>
  <si>
    <t>extended_at_min_stroke_mm</t>
  </si>
  <si>
    <t>retracted_max_mm</t>
  </si>
  <si>
    <t>extended_at_max_stroke_mm</t>
  </si>
  <si>
    <t>width_mm</t>
  </si>
  <si>
    <t>height_w_connectors_mm</t>
  </si>
  <si>
    <t>mass_at_min_stroke_kg</t>
  </si>
  <si>
    <t>rod_dia_mm</t>
  </si>
  <si>
    <t>std_rod_female_thread</t>
  </si>
  <si>
    <t>female_thread_depth_mm</t>
  </si>
  <si>
    <t>MET_male_thread</t>
  </si>
  <si>
    <t>SRE_eye_bore_mm</t>
  </si>
  <si>
    <t>RCL_clevis_pin_mm</t>
  </si>
  <si>
    <t>rear_clevis_PCD_pin_bore_mm</t>
  </si>
  <si>
    <t>Housing width</t>
  </si>
  <si>
    <t>price_usd (enter)</t>
  </si>
  <si>
    <t>stroke_min_mm</t>
  </si>
  <si>
    <t>stroke_max_mm</t>
  </si>
  <si>
    <t>dead_length_mm (retracted − stroke)</t>
  </si>
  <si>
    <t>cont ≥ running</t>
  </si>
  <si>
    <t>peak ≥ holding</t>
  </si>
  <si>
    <t>speed ok</t>
  </si>
  <si>
    <t>min usable stroke</t>
  </si>
  <si>
    <t>max usable stroke</t>
  </si>
  <si>
    <t>length / stroke fit</t>
  </si>
  <si>
    <t>fits 6 in</t>
  </si>
  <si>
    <t>Required running (kN)</t>
  </si>
  <si>
    <t>Required holding (kN)</t>
  </si>
  <si>
    <t>IMA33-BN05 (1-stack)</t>
  </si>
  <si>
    <t>Head diameter</t>
  </si>
  <si>
    <t>76.2-457.2</t>
  </si>
  <si>
    <t>M12x1.25</t>
  </si>
  <si>
    <t>M16x1.5</t>
  </si>
  <si>
    <t>Static radial rating vs P</t>
  </si>
  <si>
    <t>Pass / fail checks and max achievable angle are on the Validation tab.</t>
  </si>
  <si>
    <t>Get the rating from the vendor if blank</t>
  </si>
  <si>
    <t>Shank thread tension, P / stress area</t>
  </si>
  <si>
    <t>Min thread engagement vs rod thread depth</t>
  </si>
  <si>
    <t>IMA33-RN05 (1-stack)</t>
  </si>
  <si>
    <t>Engage at least this, then lock with a jam nut</t>
  </si>
  <si>
    <t>Tilt available vs per-axis gimbal angle</t>
  </si>
  <si>
    <t>Conservative: out-of-plane swing ≤ other axis angle</t>
  </si>
  <si>
    <t>4. Front pin (shoulder bolt through lugs and rod end)</t>
  </si>
  <si>
    <t>Gap between lugs = ball width + spacers</t>
  </si>
  <si>
    <t>Pin grip length = 2 × lug + gap</t>
  </si>
  <si>
    <t>IMA33-BN05 (3-stack)</t>
  </si>
  <si>
    <t>152.4-457.2</t>
  </si>
  <si>
    <t>Shoulder length = grip + washer if used</t>
  </si>
  <si>
    <t>Double shear, P / (2·πd²/4)</t>
  </si>
  <si>
    <t>Bending, M = (P/2)(t/2 + g/4), σ = 32M/(πd³)</t>
  </si>
  <si>
    <t>5. Chamber lugs and pad (GRCop-42)</t>
  </si>
  <si>
    <t>fos</t>
  </si>
  <si>
    <t>IMA33-BN10 (3-stack)</t>
  </si>
  <si>
    <t>Lug yield at temperature, k_T × F_ty</t>
  </si>
  <si>
    <t>Lug width across hole = d + 2a</t>
  </si>
  <si>
    <t>Edge distance = end radius = d/2 + a</t>
  </si>
  <si>
    <t>e / d</t>
  </si>
  <si>
    <t>Below 1.5 the simple checks are optimistic; confirm by FEA</t>
  </si>
  <si>
    <t>Bearing, (P/2) / (d·t)</t>
  </si>
  <si>
    <t>IMA33-RN04 (3-stack)</t>
  </si>
  <si>
    <t>Shear-out, (P/2) / (2·a·t)</t>
  </si>
  <si>
    <t>Net section, (P/2) / ((w − d)·t)</t>
  </si>
  <si>
    <t>Root bending, 6·(P/2)·h / (t·L²)</t>
  </si>
  <si>
    <t>Before fillet stress concentration; FEA the root</t>
  </si>
  <si>
    <t>Minimum lug thickness (governing of bearing / shear-out / net)</t>
  </si>
  <si>
    <t>IMA33-RN05 (3-stack)</t>
  </si>
  <si>
    <t>Clevis overall width = 2t + g</t>
  </si>
  <si>
    <t>6. Rear joint (single tongue in the actuator's rear clevis)</t>
  </si>
  <si>
    <t>Rear pin diameter (actuator rear clevis bore)</t>
  </si>
  <si>
    <t>IMA33-RN10 (3-stack)</t>
  </si>
  <si>
    <t>Tongue thickness = clevis gap − clearance</t>
  </si>
  <si>
    <t>Tongue width = d + 2a</t>
  </si>
  <si>
    <t>Tongue end radius = d/2 + a</t>
  </si>
  <si>
    <t>Rear pin double shear</t>
  </si>
  <si>
    <t>IMA44-BN05 (3-stack)</t>
  </si>
  <si>
    <t>M20x1.5</t>
  </si>
  <si>
    <t>Tongue bearing, P / (d·t)</t>
  </si>
  <si>
    <t>Tongue shear-out, P / (2·a·t)</t>
  </si>
  <si>
    <t>Tongue net section, P / ((w − d)·t)</t>
  </si>
  <si>
    <t>IMA44-BN10 (3-stack)</t>
  </si>
  <si>
    <t>OVERALL (all checks above)</t>
  </si>
  <si>
    <t>CHECK = no failures, but a CONFIRM or FEA item is open</t>
  </si>
  <si>
    <t>7. Dimensions for CAD (copy these into the model)</t>
  </si>
  <si>
    <t>Feature</t>
  </si>
  <si>
    <t>Tolerance</t>
  </si>
  <si>
    <t>Chamber pin center, radial from centerline</t>
  </si>
  <si>
    <t>IMA44-BN25 (3-stack)</t>
  </si>
  <si>
    <t>±0.2</t>
  </si>
  <si>
    <t>At neutral</t>
  </si>
  <si>
    <t>Chamber pin center, axial from gimbal</t>
  </si>
  <si>
    <t>Negative = below gimbal</t>
  </si>
  <si>
    <t>Rear pin center, radial from centerline</t>
  </si>
  <si>
    <t>Rear pin center, axial from gimbal</t>
  </si>
  <si>
    <t>Actuator stroke to order</t>
  </si>
  <si>
    <t>catalog</t>
  </si>
  <si>
    <t>Round to an orderable stroke</t>
  </si>
  <si>
    <t>Front pin hole diameter (both lugs)</t>
  </si>
  <si>
    <t>H7</t>
  </si>
  <si>
    <t>Print undersize, line-ream both lugs in one setup after HIP</t>
  </si>
  <si>
    <t>Lug thickness (each)</t>
  </si>
  <si>
    <t>±0.1</t>
  </si>
  <si>
    <t>Gap between lugs</t>
  </si>
  <si>
    <t>+0.1 / 0</t>
  </si>
  <si>
    <t>Machine faces; they clamp the rod end ball</t>
  </si>
  <si>
    <t>Clevis overall width</t>
  </si>
  <si>
    <t>ref</t>
  </si>
  <si>
    <t>Lug end radius (concentric with hole)</t>
  </si>
  <si>
    <t>Lug width across hole</t>
  </si>
  <si>
    <t>Pin center height above pad</t>
  </si>
  <si>
    <t>IMA44-RN04 (3-stack)</t>
  </si>
  <si>
    <t>Lug root length along chamber axis</t>
  </si>
  <si>
    <t>Lug-to-pad fillet</t>
  </si>
  <si>
    <t>min</t>
  </si>
  <si>
    <t>Pad length along axis = root + 2 × fillet</t>
  </si>
  <si>
    <t>Pad width = clevis width + 2 × 1 mm</t>
  </si>
  <si>
    <t>Front pin: diameter × grip length</t>
  </si>
  <si>
    <t>A286 or 12.9 shoulder bolt</t>
  </si>
  <si>
    <t>IMA44-RN05 (3-stack)</t>
  </si>
  <si>
    <t>Rod end thread / min engagement</t>
  </si>
  <si>
    <t>chosen constraints</t>
  </si>
  <si>
    <t>IMA44-RN10 (3-stack)</t>
  </si>
  <si>
    <t>ALL mm MEASUREMENTS</t>
  </si>
  <si>
    <t xml:space="preserve">thrust </t>
  </si>
  <si>
    <t>Plus jam nut</t>
  </si>
  <si>
    <t>Rear pin diameter</t>
  </si>
  <si>
    <t>actuator position in free space</t>
  </si>
  <si>
    <t>H7 hole</t>
  </si>
  <si>
    <t>Rear tongue: thickness × width × end radius</t>
  </si>
  <si>
    <t>distance from origin</t>
  </si>
  <si>
    <t>Rod end catalog (edit or add rows; blank rating = not published, CONFIRM)</t>
  </si>
  <si>
    <t>speed</t>
  </si>
  <si>
    <t>gimble center</t>
  </si>
  <si>
    <t>Rod end</t>
  </si>
  <si>
    <t xml:space="preserve">acceleration </t>
  </si>
  <si>
    <t>deg/s (completely arbitratry</t>
  </si>
  <si>
    <t xml:space="preserve">position on chamber </t>
  </si>
  <si>
    <t>Bore (mm)</t>
  </si>
  <si>
    <t>max dia</t>
  </si>
  <si>
    <t>Ball width (mm)</t>
  </si>
  <si>
    <t>Housing width (mm)</t>
  </si>
  <si>
    <t>IMA55-BN05 (3-stack)</t>
  </si>
  <si>
    <t>Head dia (mm)</t>
  </si>
  <si>
    <t>Tilt (deg)</t>
  </si>
  <si>
    <t>Thread</t>
  </si>
  <si>
    <t>Stress area (mm²)</t>
  </si>
  <si>
    <t>Static rating (kN)</t>
  </si>
  <si>
    <t>M27x2.0</t>
  </si>
  <si>
    <t>chamber center position</t>
  </si>
  <si>
    <t>chamber center at 10deg</t>
  </si>
  <si>
    <t>Fluro GAXS12x1.25</t>
  </si>
  <si>
    <t>Gray = unconfirmed. Head diameters are estimates for this bearing size; take the real value from the vendor CAD model.</t>
  </si>
  <si>
    <t>position on chamber at 10deg</t>
  </si>
  <si>
    <t>IMA55-BN10 (3-stack)</t>
  </si>
  <si>
    <t xml:space="preserve">extension distance at 10 deg </t>
  </si>
  <si>
    <t>distance to acc</t>
  </si>
  <si>
    <t>extension to point on TCA</t>
  </si>
  <si>
    <t>CG below gimbal</t>
  </si>
  <si>
    <t>chamber center at -10deg</t>
  </si>
  <si>
    <t>IMA55-BN20 (3-stack)</t>
  </si>
  <si>
    <t>position on chamber at -10deg</t>
  </si>
  <si>
    <t xml:space="preserve">extension distance at -10 deg </t>
  </si>
  <si>
    <t>Bearing radius</t>
  </si>
  <si>
    <t>Friction coeff (mu)</t>
  </si>
  <si>
    <t>max distance</t>
  </si>
  <si>
    <t>IMA55-RN05 (3-stack)</t>
  </si>
  <si>
    <t>Vehicle accel</t>
  </si>
  <si>
    <t>Max gimbal angle</t>
  </si>
  <si>
    <t>required actuator speed</t>
  </si>
  <si>
    <t>Angular accel</t>
  </si>
  <si>
    <t>length cross prod</t>
  </si>
  <si>
    <t>Misalignment offset</t>
  </si>
  <si>
    <t>L</t>
  </si>
  <si>
    <t>Misalignment angle</t>
  </si>
  <si>
    <t>mm extension per radian of tilt</t>
  </si>
  <si>
    <t>Side load fraction</t>
  </si>
  <si>
    <t>of thrust</t>
  </si>
  <si>
    <t xml:space="preserve">A * P </t>
  </si>
  <si>
    <t>Hose torque (placeholder)</t>
  </si>
  <si>
    <t>(AP - dl/dtheta^2)/L</t>
  </si>
  <si>
    <t>IMA55-RN10 (3-stack)</t>
  </si>
  <si>
    <t>Mm/rad^2</t>
  </si>
  <si>
    <t>Margin</t>
  </si>
  <si>
    <t>required acceleration = ((AP - dl/dtheta^2)/L)*accel + (dl/dtheta)*velocity^2</t>
  </si>
  <si>
    <t>Mm/s^2</t>
  </si>
  <si>
    <t>dL/dtheta at -10 deg</t>
  </si>
  <si>
    <t>dL/dtheta at 0 deg</t>
  </si>
  <si>
    <t>TORQUES</t>
  </si>
  <si>
    <t>Columns Y–AF check each actuator against the design on Inputs.</t>
  </si>
  <si>
    <t>Inertia about gimbal</t>
  </si>
  <si>
    <t>Holding uses peak force as a proxy. IMA actuators are backdrivable; for the startup hit, spec the brake option or confirm holding with Tolomatic.</t>
  </si>
  <si>
    <t>Length fit: retracted = dead length + stroke, extended = dead length + 2·stroke; needs retracted ≤ L_min − margin and extended ≥ L_max + margin.</t>
  </si>
  <si>
    <t>Inertia torque</t>
  </si>
  <si>
    <t>Pendulum</t>
  </si>
  <si>
    <t>Friction</t>
  </si>
  <si>
    <t>Misalignment (offset)</t>
  </si>
  <si>
    <t>Misalignment (angle)</t>
  </si>
  <si>
    <t>Hose</t>
  </si>
  <si>
    <t>Side load torque</t>
  </si>
  <si>
    <t>max acceleration</t>
  </si>
  <si>
    <t>FORCES</t>
  </si>
  <si>
    <t>Running force w/ margin</t>
  </si>
  <si>
    <t>max force</t>
  </si>
  <si>
    <t xml:space="preserve">bolt force and actuator force </t>
  </si>
  <si>
    <t>Holding force w/ margin</t>
  </si>
  <si>
    <t>actual force from actuator</t>
  </si>
  <si>
    <t>FOS</t>
  </si>
  <si>
    <t>design force</t>
  </si>
  <si>
    <t>parts</t>
  </si>
  <si>
    <t xml:space="preserve">link </t>
  </si>
  <si>
    <t>diameter</t>
  </si>
  <si>
    <t>length</t>
  </si>
  <si>
    <t>rod end</t>
  </si>
  <si>
    <t xml:space="preserve">actuator </t>
  </si>
  <si>
    <t>IMA RN04 https://www.tolomatic.com/products/product-details/ima-linear-servo-actuators/</t>
  </si>
  <si>
    <t>83 mm face</t>
  </si>
  <si>
    <t xml:space="preserve">pin </t>
  </si>
  <si>
    <t xml:space="preserve">rod end </t>
  </si>
  <si>
    <t>lug thickness</t>
  </si>
  <si>
    <t>pin</t>
  </si>
  <si>
    <t xml:space="preserve">edge distance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</si>
</sst>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##"/>
    <numFmt numFmtId="165" formatCode="0.0"/>
    <numFmt numFmtId="166" formatCode="0.000"/>
    <numFmt numFmtId="167" formatCode="0.0000"/>
  </numFmts>
  <fonts count="17">
    <font>
      <sz val="10.0"/>
      <color rgb="FF000000"/>
      <name val="Arial"/>
      <scheme val="minor"/>
    </font>
    <font>
      <b/>
      <sz val="14.0"/>
      <color rgb="FF8B1E1E"/>
      <name val="Roboto Mono"/>
    </font>
    <font>
      <i/>
      <sz val="11.0"/>
      <color rgb="FF595959"/>
      <name val="Roboto Mono"/>
    </font>
    <font>
      <b/>
      <sz val="11.0"/>
      <color rgb="FFFFFFFF"/>
      <name val="Roboto Mono"/>
    </font>
    <font>
      <b/>
      <sz val="8.0"/>
      <color rgb="FF6B6B6B"/>
      <name val="Roboto Mono"/>
    </font>
    <font>
      <b/>
      <sz val="11.0"/>
      <color rgb="FF7A1414"/>
      <name val="Roboto Mono"/>
    </font>
    <font>
      <sz val="10.0"/>
      <color rgb="FF000000"/>
      <name val="Arial"/>
    </font>
    <font>
      <sz val="8.0"/>
      <color rgb="FF6B6B6B"/>
      <name val="Roboto Mono"/>
    </font>
    <font>
      <color theme="1"/>
      <name val="Arial"/>
    </font>
    <font>
      <sz val="11.0"/>
      <color rgb="FF1F2328"/>
      <name val="Roboto Mono"/>
    </font>
    <font>
      <b/>
      <sz val="11.0"/>
      <color rgb="FFB42318"/>
      <name val="Roboto Mono"/>
    </font>
    <font>
      <b/>
      <sz val="11.0"/>
      <color rgb="FF1F2328"/>
      <name val="Roboto Mono"/>
    </font>
    <font/>
    <font>
      <b/>
      <sz val="11.0"/>
      <color rgb="FF0B5A26"/>
      <name val="Roboto Mono"/>
    </font>
    <font>
      <b/>
      <sz val="11.0"/>
      <color rgb="FF8B0000"/>
      <name val="Roboto Mono"/>
    </font>
    <font>
      <sz val="10.0"/>
      <color rgb="FF1F2328"/>
      <name val="Roboto Mono"/>
    </font>
    <font>
      <u/>
      <sz val="11.0"/>
      <color rgb="FF1F2328"/>
      <name val="Roboto Mono"/>
    </font>
  </fonts>
  <fills count="9">
    <fill>
      <patternFill patternType="none"/>
    </fill>
    <fill>
      <patternFill patternType="lightGray"/>
    </fill>
    <fill>
      <patternFill patternType="solid">
        <fgColor rgb="FF8B1E1E"/>
        <bgColor rgb="FF8B1E1E"/>
      </patternFill>
    </fill>
    <fill>
      <patternFill patternType="solid">
        <fgColor rgb="FFF9DEDC"/>
        <bgColor rgb="FFF9DEDC"/>
      </patternFill>
    </fill>
    <fill>
      <patternFill patternType="solid">
        <fgColor rgb="FFFDECEA"/>
        <bgColor rgb="FFFDECEA"/>
      </patternFill>
    </fill>
    <fill>
      <patternFill patternType="solid">
        <fgColor rgb="FFE4E4E4"/>
        <bgColor rgb="FFE4E4E4"/>
      </patternFill>
    </fill>
    <fill>
      <patternFill patternType="solid">
        <fgColor rgb="FFFBE5E1"/>
        <bgColor rgb="FFFBE5E1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1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2" fillId="0" fontId="9" numFmtId="0" xfId="0" applyAlignment="1" applyBorder="1" applyFont="1">
      <alignment shrinkToFit="0" vertical="bottom" wrapText="0"/>
    </xf>
    <xf borderId="2" fillId="4" fontId="9" numFmtId="0" xfId="0" applyAlignment="1" applyBorder="1" applyFill="1" applyFont="1">
      <alignment readingOrder="0"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7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vertical="bottom"/>
    </xf>
    <xf borderId="1" fillId="3" fontId="5" numFmtId="0" xfId="0" applyAlignment="1" applyBorder="1" applyFill="1" applyFont="1">
      <alignment vertical="bottom"/>
    </xf>
    <xf borderId="1" fillId="3" fontId="8" numFmtId="0" xfId="0" applyAlignment="1" applyBorder="1" applyFill="1" applyFont="1">
      <alignment vertical="bottom"/>
    </xf>
    <xf borderId="2" fillId="0" fontId="9" numFmtId="0" xfId="0" applyAlignment="1" applyBorder="1" applyFont="1">
      <alignment vertical="bottom"/>
    </xf>
    <xf borderId="0" fillId="0" fontId="7" numFmtId="165" xfId="0" applyAlignment="1" applyFont="1" applyNumberFormat="1">
      <alignment horizontal="right" vertical="bottom"/>
    </xf>
    <xf borderId="2" fillId="0" fontId="9" numFmtId="3" xfId="0" applyAlignment="1" applyBorder="1" applyFont="1" applyNumberFormat="1">
      <alignment horizontal="right" vertical="bottom"/>
    </xf>
    <xf borderId="0" fillId="0" fontId="7" numFmtId="165" xfId="0" applyAlignment="1" applyFont="1" applyNumberFormat="1">
      <alignment shrinkToFit="0" vertical="bottom" wrapText="0"/>
    </xf>
    <xf borderId="2" fillId="0" fontId="9" numFmtId="2" xfId="0" applyAlignment="1" applyBorder="1" applyFont="1" applyNumberFormat="1">
      <alignment horizontal="right" vertical="bottom"/>
    </xf>
    <xf borderId="0" fillId="0" fontId="7" numFmtId="3" xfId="0" applyAlignment="1" applyFont="1" applyNumberFormat="1">
      <alignment shrinkToFit="0" vertical="bottom" wrapText="0"/>
    </xf>
    <xf borderId="2" fillId="0" fontId="9" numFmtId="165" xfId="0" applyAlignment="1" applyBorder="1" applyFont="1" applyNumberFormat="1">
      <alignment shrinkToFit="0" vertical="bottom" wrapText="0"/>
    </xf>
    <xf borderId="2" fillId="0" fontId="9" numFmtId="166" xfId="0" applyAlignment="1" applyBorder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1" fillId="2" fontId="3" numFmtId="0" xfId="0" applyAlignment="1" applyBorder="1" applyFill="1" applyFont="1">
      <alignment horizontal="center" shrinkToFit="0" wrapText="1"/>
    </xf>
    <xf borderId="2" fillId="0" fontId="9" numFmtId="165" xfId="0" applyAlignment="1" applyBorder="1" applyFont="1" applyNumberFormat="1">
      <alignment horizontal="right" vertical="bottom"/>
    </xf>
    <xf borderId="2" fillId="0" fontId="9" numFmtId="167" xfId="0" applyAlignment="1" applyBorder="1" applyFont="1" applyNumberFormat="1">
      <alignment shrinkToFit="0" vertical="bottom" wrapText="0"/>
    </xf>
    <xf borderId="2" fillId="5" fontId="9" numFmtId="0" xfId="0" applyAlignment="1" applyBorder="1" applyFill="1" applyFont="1">
      <alignment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1" fillId="3" fontId="6" numFmtId="0" xfId="0" applyAlignment="1" applyBorder="1" applyFill="1" applyFont="1">
      <alignment readingOrder="0" shrinkToFit="0" vertical="bottom" wrapText="0"/>
    </xf>
    <xf borderId="2" fillId="4" fontId="9" numFmtId="0" xfId="0" applyAlignment="1" applyBorder="1" applyFill="1" applyFont="1">
      <alignment shrinkToFit="0" vertical="bottom" wrapText="0"/>
    </xf>
    <xf borderId="2" fillId="0" fontId="11" numFmtId="0" xfId="0" applyAlignment="1" applyBorder="1" applyFont="1">
      <alignment vertical="bottom"/>
    </xf>
    <xf borderId="2" fillId="5" fontId="9" numFmtId="0" xfId="0" applyAlignment="1" applyBorder="1" applyFill="1" applyFon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2" fillId="0" fontId="11" numFmtId="2" xfId="0" applyAlignment="1" applyBorder="1" applyFont="1" applyNumberFormat="1">
      <alignment horizontal="right" vertical="bottom"/>
    </xf>
    <xf borderId="2" fillId="0" fontId="9" numFmtId="2" xfId="0" applyAlignment="1" applyBorder="1" applyFont="1" applyNumberFormat="1">
      <alignment shrinkToFit="0" vertical="bottom" wrapText="0"/>
    </xf>
    <xf borderId="2" fillId="0" fontId="9" numFmtId="167" xfId="0" applyAlignment="1" applyBorder="1" applyFont="1" applyNumberFormat="1">
      <alignment horizontal="right" vertical="bottom"/>
    </xf>
    <xf borderId="2" fillId="0" fontId="9" numFmtId="165" xfId="0" applyAlignment="1" applyBorder="1" applyFont="1" applyNumberFormat="1">
      <alignment readingOrder="0" shrinkToFit="0" vertical="bottom" wrapText="0"/>
    </xf>
    <xf borderId="2" fillId="0" fontId="11" numFmtId="3" xfId="0" applyAlignment="1" applyBorder="1" applyFont="1" applyNumberFormat="1">
      <alignment horizontal="right" vertical="bottom"/>
    </xf>
    <xf borderId="2" fillId="4" fontId="9" numFmtId="0" xfId="0" applyAlignment="1" applyBorder="1" applyFill="1" applyFont="1">
      <alignment vertical="bottom"/>
    </xf>
    <xf borderId="2" fillId="0" fontId="8" numFmtId="0" xfId="0" applyAlignment="1" applyBorder="1" applyFont="1">
      <alignment vertical="bottom"/>
    </xf>
    <xf borderId="2" fillId="4" fontId="9" numFmtId="0" xfId="0" applyAlignment="1" applyBorder="1" applyFill="1" applyFont="1">
      <alignment horizontal="right" vertical="bottom"/>
    </xf>
    <xf borderId="2" fillId="4" fontId="9" numFmtId="0" xfId="0" applyAlignment="1" applyBorder="1" applyFill="1" applyFont="1">
      <alignment horizontal="right" readingOrder="0" vertical="bottom"/>
    </xf>
    <xf borderId="2" fillId="0" fontId="9" numFmtId="0" xfId="0" applyAlignment="1" applyBorder="1" applyFont="1">
      <alignment vertical="bottom"/>
    </xf>
    <xf borderId="2" fillId="4" fontId="9" numFmtId="0" xfId="0" applyAlignment="1" applyBorder="1" applyFill="1" applyFont="1">
      <alignment horizontal="right" vertical="bottom"/>
    </xf>
    <xf borderId="2" fillId="4" fontId="9" numFmtId="164" xfId="0" applyAlignment="1" applyBorder="1" applyFill="1" applyFont="1" applyNumberFormat="1">
      <alignment horizontal="right" readingOrder="0" vertical="bottom"/>
    </xf>
    <xf borderId="2" fillId="0" fontId="9" numFmtId="164" xfId="0" applyAlignment="1" applyBorder="1" applyFont="1" applyNumberFormat="1">
      <alignment vertical="bottom"/>
    </xf>
    <xf borderId="2" fillId="4" fontId="9" numFmtId="164" xfId="0" applyAlignment="1" applyBorder="1" applyFill="1" applyFont="1" applyNumberFormat="1">
      <alignment horizontal="right" vertical="bottom"/>
    </xf>
    <xf borderId="1" fillId="2" fontId="8" numFmtId="0" xfId="0" applyBorder="1" applyFill="1" applyFont="1"/>
    <xf borderId="2" fillId="5" fontId="9" numFmtId="164" xfId="0" applyAlignment="1" applyBorder="1" applyFill="1" applyFont="1" applyNumberFormat="1">
      <alignment horizontal="right" vertical="bottom"/>
    </xf>
    <xf borderId="2" fillId="0" fontId="10" numFmtId="0" xfId="0" applyAlignment="1" applyBorder="1" applyFont="1">
      <alignment vertical="bottom"/>
    </xf>
    <xf borderId="2" fillId="5" fontId="9" numFmtId="0" xfId="0" applyAlignment="1" applyBorder="1" applyFill="1" applyFont="1">
      <alignment horizontal="right" vertical="bottom"/>
    </xf>
    <xf borderId="2" fillId="0" fontId="10" numFmtId="0" xfId="0" applyAlignment="1" applyBorder="1" applyFont="1">
      <alignment vertical="bottom"/>
    </xf>
    <xf borderId="2" fillId="0" fontId="8" numFmtId="0" xfId="0" applyAlignment="1" applyBorder="1" applyFont="1">
      <alignment vertical="bottom"/>
    </xf>
    <xf borderId="1" fillId="3" fontId="5" numFmtId="0" xfId="0" applyAlignment="1" applyBorder="1" applyFill="1" applyFont="1">
      <alignment vertical="bottom"/>
    </xf>
    <xf borderId="1" fillId="3" fontId="8" numFmtId="0" xfId="0" applyAlignment="1" applyBorder="1" applyFill="1" applyFont="1">
      <alignment vertical="bottom"/>
    </xf>
    <xf borderId="2" fillId="0" fontId="11" numFmtId="0" xfId="0" applyAlignment="1" applyBorder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2" fillId="6" fontId="11" numFmtId="2" xfId="0" applyAlignment="1" applyBorder="1" applyFill="1" applyFont="1" applyNumberFormat="1">
      <alignment shrinkToFit="0" vertical="bottom" wrapText="0"/>
    </xf>
    <xf borderId="2" fillId="6" fontId="11" numFmtId="3" xfId="0" applyAlignment="1" applyBorder="1" applyFill="1" applyFont="1" applyNumberFormat="1">
      <alignment horizontal="right" vertical="bottom"/>
    </xf>
    <xf borderId="2" fillId="6" fontId="11" numFmtId="165" xfId="0" applyAlignment="1" applyBorder="1" applyFill="1" applyFont="1" applyNumberFormat="1">
      <alignment horizontal="right" vertical="bottom"/>
    </xf>
    <xf borderId="3" fillId="0" fontId="9" numFmtId="0" xfId="0" applyAlignment="1" applyBorder="1" applyFont="1">
      <alignment shrinkToFit="0" vertical="bottom" wrapText="0"/>
    </xf>
    <xf borderId="4" fillId="0" fontId="12" numFmtId="0" xfId="0" applyBorder="1" applyFont="1"/>
    <xf borderId="5" fillId="0" fontId="12" numFmtId="0" xfId="0" applyBorder="1" applyFont="1"/>
    <xf borderId="2" fillId="0" fontId="11" numFmtId="0" xfId="0" applyAlignment="1" applyBorder="1" applyFont="1">
      <alignment horizontal="center" shrinkToFit="0" vertical="bottom" wrapText="0"/>
    </xf>
    <xf borderId="2" fillId="0" fontId="9" numFmtId="3" xfId="0" applyAlignment="1" applyBorder="1" applyFont="1" applyNumberFormat="1">
      <alignment shrinkToFit="0" vertical="bottom" wrapText="0"/>
    </xf>
    <xf borderId="2" fillId="7" fontId="13" numFmtId="1" xfId="0" applyAlignment="1" applyBorder="1" applyFill="1" applyFont="1" applyNumberFormat="1">
      <alignment horizontal="right" vertical="bottom"/>
    </xf>
    <xf borderId="0" fillId="0" fontId="7" numFmtId="2" xfId="0" applyAlignment="1" applyFont="1" applyNumberFormat="1">
      <alignment shrinkToFit="0" vertical="bottom" wrapText="0"/>
    </xf>
    <xf borderId="2" fillId="6" fontId="11" numFmtId="3" xfId="0" applyAlignment="1" applyBorder="1" applyFill="1" applyFont="1" applyNumberFormat="1">
      <alignment shrinkToFit="0" vertical="bottom" wrapText="0"/>
    </xf>
    <xf borderId="2" fillId="0" fontId="9" numFmtId="49" xfId="0" applyAlignment="1" applyBorder="1" applyFont="1" applyNumberFormat="1">
      <alignment shrinkToFit="0" vertical="bottom" wrapText="0"/>
    </xf>
    <xf borderId="2" fillId="6" fontId="11" numFmtId="165" xfId="0" applyAlignment="1" applyBorder="1" applyFill="1" applyFont="1" applyNumberFormat="1">
      <alignment shrinkToFit="0" vertical="bottom" wrapText="0"/>
    </xf>
    <xf borderId="2" fillId="8" fontId="14" numFmtId="0" xfId="0" applyAlignment="1" applyBorder="1" applyFill="1" applyFont="1">
      <alignment horizontal="right" vertical="bottom"/>
    </xf>
    <xf borderId="0" fillId="0" fontId="3" numFmtId="0" xfId="0" applyAlignment="1" applyFont="1">
      <alignment horizontal="center" shrinkToFit="0" vertical="center" wrapText="1"/>
    </xf>
    <xf borderId="2" fillId="0" fontId="9" numFmtId="0" xfId="0" applyAlignment="1" applyBorder="1" applyFont="1">
      <alignment horizontal="right" shrinkToFit="0" vertical="bottom" wrapText="0"/>
    </xf>
    <xf borderId="2" fillId="4" fontId="9" numFmtId="3" xfId="0" applyAlignment="1" applyBorder="1" applyFill="1" applyFont="1" applyNumberForma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9" numFmtId="2" xfId="0" applyAlignment="1" applyBorder="1" applyFont="1" applyNumberFormat="1">
      <alignment readingOrder="0" shrinkToFit="0" vertical="bottom" wrapText="0"/>
    </xf>
    <xf borderId="2" fillId="6" fontId="11" numFmtId="49" xfId="0" applyAlignment="1" applyBorder="1" applyFill="1" applyFont="1" applyNumberFormat="1">
      <alignment shrinkToFit="0" vertical="bottom" wrapText="0"/>
    </xf>
    <xf borderId="6" fillId="0" fontId="9" numFmtId="0" xfId="0" applyAlignment="1" applyBorder="1" applyFont="1">
      <alignment shrinkToFit="0" vertical="bottom" wrapText="0"/>
    </xf>
    <xf borderId="7" fillId="0" fontId="9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9" fillId="0" fontId="9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1" fillId="0" fontId="9" numFmtId="0" xfId="0" applyAlignment="1" applyBorder="1" applyFont="1">
      <alignment shrinkToFit="0" vertical="bottom" wrapText="0"/>
    </xf>
    <xf borderId="12" fillId="3" fontId="9" numFmtId="0" xfId="0" applyAlignment="1" applyBorder="1" applyFill="1" applyFont="1">
      <alignment shrinkToFit="0" vertical="bottom" wrapText="0"/>
    </xf>
    <xf borderId="13" fillId="0" fontId="9" numFmtId="0" xfId="0" applyAlignment="1" applyBorder="1" applyFont="1">
      <alignment shrinkToFit="0" vertical="bottom" wrapText="0"/>
    </xf>
    <xf borderId="14" fillId="0" fontId="9" numFmtId="0" xfId="0" applyAlignment="1" applyBorder="1" applyFont="1">
      <alignment shrinkToFit="0" vertical="bottom" wrapText="0"/>
    </xf>
    <xf borderId="15" fillId="0" fontId="9" numFmtId="0" xfId="0" applyAlignment="1" applyBorder="1" applyFont="1">
      <alignment shrinkToFit="0" vertical="bottom" wrapText="0"/>
    </xf>
    <xf borderId="16" fillId="0" fontId="9" numFmtId="0" xfId="0" applyAlignment="1" applyBorder="1" applyFont="1">
      <alignment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7" fillId="0" fontId="9" numFmtId="0" xfId="0" applyAlignment="1" applyBorder="1" applyFont="1">
      <alignment shrinkToFit="0" vertical="bottom" wrapText="0"/>
    </xf>
    <xf borderId="10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shrinkToFit="0" vertical="bottom" wrapText="0"/>
    </xf>
    <xf borderId="18" fillId="0" fontId="11" numFmtId="0" xfId="0" applyAlignment="1" applyBorder="1" applyFont="1">
      <alignment shrinkToFit="0" vertical="bottom" wrapText="0"/>
    </xf>
    <xf borderId="18" fillId="0" fontId="9" numFmtId="0" xfId="0" applyAlignment="1" applyBorder="1" applyFont="1">
      <alignment shrinkToFit="0" vertical="bottom" wrapText="0"/>
    </xf>
    <xf borderId="19" fillId="0" fontId="9" numFmtId="0" xfId="0" applyAlignment="1" applyBorder="1" applyFont="1">
      <alignment shrinkToFit="0" vertical="bottom" wrapText="0"/>
    </xf>
    <xf borderId="20" fillId="0" fontId="9" numFmtId="0" xfId="0" applyAlignment="1" applyBorder="1" applyFont="1">
      <alignment shrinkToFit="0" vertical="bottom" wrapText="0"/>
    </xf>
    <xf borderId="15" fillId="0" fontId="11" numFmtId="0" xfId="0" applyAlignment="1" applyBorder="1" applyFont="1">
      <alignment shrinkToFit="0" vertical="bottom" wrapText="0"/>
    </xf>
    <xf borderId="16" fillId="0" fontId="11" numFmtId="0" xfId="0" applyAlignment="1" applyBorder="1" applyFont="1">
      <alignment shrinkToFit="0" vertical="bottom" wrapText="0"/>
    </xf>
    <xf borderId="1" fillId="3" fontId="11" numFmtId="0" xfId="0" applyAlignment="1" applyBorder="1" applyFill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2" fillId="8" fontId="14" numFmtId="1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3">
    <dxf>
      <font>
        <b/>
        <color rgb="FF0B5A26"/>
      </font>
      <fill>
        <patternFill patternType="solid">
          <fgColor rgb="FFC6EFCE"/>
          <bgColor rgb="FFC6EFCE"/>
        </patternFill>
      </fill>
      <border/>
    </dxf>
    <dxf>
      <font>
        <b/>
        <color rgb="FF8B0000"/>
      </font>
      <fill>
        <patternFill patternType="solid">
          <fgColor rgb="FFFFC7CE"/>
          <bgColor rgb="FFFFC7CE"/>
        </patternFill>
      </fill>
      <border/>
    </dxf>
    <dxf>
      <font>
        <b/>
        <color rgb="FF7A4A00"/>
      </font>
      <fill>
        <patternFill patternType="solid">
          <fgColor rgb="FFFFE7B8"/>
          <bgColor rgb="FFFFE7B8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A1414"/>
                </a:solidFill>
                <a:latin typeface="Roboto Mono"/>
              </a:defRPr>
            </a:pPr>
            <a:r>
              <a:rPr b="1" i="0" sz="1100">
                <a:solidFill>
                  <a:srgbClr val="7A1414"/>
                </a:solidFill>
                <a:latin typeface="Roboto Mono"/>
              </a:rPr>
              <a:t>Design layout, side view (mm)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Chamber outline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5B6770"/>
              </a:solidFill>
              <a:ln cmpd="sng">
                <a:solidFill>
                  <a:srgbClr val="5B6770"/>
                </a:solidFill>
              </a:ln>
            </c:spPr>
          </c:marker>
          <c:xVal>
            <c:numRef>
              <c:f>Inputs!$R$6:$R$10</c:f>
            </c:numRef>
          </c:xVal>
          <c:yVal>
            <c:numRef>
              <c:f>Inputs!$S$6:$S$10</c:f>
              <c:numCache/>
            </c:numRef>
          </c:yVal>
        </c:ser>
        <c:ser>
          <c:idx val="1"/>
          <c:order val="1"/>
          <c:tx>
            <c:v>Chamber outline (mirror)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5B6770"/>
              </a:solidFill>
              <a:ln cmpd="sng">
                <a:solidFill>
                  <a:srgbClr val="5B6770"/>
                </a:solidFill>
              </a:ln>
            </c:spPr>
          </c:marker>
          <c:xVal>
            <c:numRef>
              <c:f>Inputs!$T$6:$T$10</c:f>
            </c:numRef>
          </c:xVal>
          <c:yVal>
            <c:numRef>
              <c:f>Inputs!$U$6:$U$10</c:f>
              <c:numCache/>
            </c:numRef>
          </c:yVal>
        </c:ser>
        <c:ser>
          <c:idx val="2"/>
          <c:order val="2"/>
          <c:tx>
            <c:v>Chamber axis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A9A9A"/>
              </a:solidFill>
              <a:ln cmpd="sng">
                <a:solidFill>
                  <a:srgbClr val="9A9A9A"/>
                </a:solidFill>
              </a:ln>
            </c:spPr>
          </c:marker>
          <c:xVal>
            <c:numRef>
              <c:f>Inputs!$V$6:$V$7</c:f>
            </c:numRef>
          </c:xVal>
          <c:yVal>
            <c:numRef>
              <c:f>Inputs!$W$6:$W$7</c:f>
              <c:numCache/>
            </c:numRef>
          </c:yVal>
        </c:ser>
        <c:ser>
          <c:idx val="3"/>
          <c:order val="3"/>
          <c:tx>
            <c:v>Actuator, neutral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B42318"/>
              </a:solidFill>
              <a:ln cmpd="sng">
                <a:solidFill>
                  <a:srgbClr val="B42318"/>
                </a:solidFill>
              </a:ln>
            </c:spPr>
          </c:marker>
          <c:xVal>
            <c:numRef>
              <c:f>Inputs!$X$6:$X$7</c:f>
            </c:numRef>
          </c:xVal>
          <c:yVal>
            <c:numRef>
              <c:f>Inputs!$Y$6:$Y$7</c:f>
              <c:numCache/>
            </c:numRef>
          </c:yVal>
        </c:ser>
        <c:ser>
          <c:idx val="4"/>
          <c:order val="4"/>
          <c:tx>
            <c:v>Actuator at +max angle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8685B"/>
              </a:solidFill>
              <a:ln cmpd="sng">
                <a:solidFill>
                  <a:srgbClr val="E8685B"/>
                </a:solidFill>
              </a:ln>
            </c:spPr>
          </c:marker>
          <c:xVal>
            <c:numRef>
              <c:f>Inputs!$Z$6:$Z$7</c:f>
            </c:numRef>
          </c:xVal>
          <c:yVal>
            <c:numRef>
              <c:f>Inputs!$AA$6:$AA$7</c:f>
              <c:numCache/>
            </c:numRef>
          </c:yVal>
        </c:ser>
        <c:ser>
          <c:idx val="5"/>
          <c:order val="5"/>
          <c:tx>
            <c:v>Actuator at −max angle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98200"/>
              </a:solidFill>
              <a:ln cmpd="sng">
                <a:solidFill>
                  <a:srgbClr val="C98200"/>
                </a:solidFill>
              </a:ln>
            </c:spPr>
          </c:marker>
          <c:xVal>
            <c:numRef>
              <c:f>Inputs!$AB$6:$AB$7</c:f>
            </c:numRef>
          </c:xVal>
          <c:yVal>
            <c:numRef>
              <c:f>Inputs!$AC$6:$AC$7</c:f>
              <c:numCache/>
            </c:numRef>
          </c:yVal>
        </c:ser>
        <c:ser>
          <c:idx val="6"/>
          <c:order val="6"/>
          <c:tx>
            <c:v>6 in limit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7A1414"/>
              </a:solidFill>
              <a:ln cmpd="sng">
                <a:solidFill>
                  <a:srgbClr val="7A1414"/>
                </a:solidFill>
              </a:ln>
            </c:spPr>
          </c:marker>
          <c:xVal>
            <c:numRef>
              <c:f>Inputs!$AD$6:$AD$7</c:f>
            </c:numRef>
          </c:xVal>
          <c:yVal>
            <c:numRef>
              <c:f>Inputs!$AE$6:$AE$7</c:f>
              <c:numCache/>
            </c:numRef>
          </c:yVal>
        </c:ser>
        <c:ser>
          <c:idx val="7"/>
          <c:order val="7"/>
          <c:tx>
            <c:v>6 in limit (mirror)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7A1414"/>
              </a:solidFill>
              <a:ln cmpd="sng">
                <a:solidFill>
                  <a:srgbClr val="7A1414"/>
                </a:solidFill>
              </a:ln>
            </c:spPr>
          </c:marker>
          <c:xVal>
            <c:numRef>
              <c:f>Inputs!$AF$6:$AF$7</c:f>
            </c:numRef>
          </c:xVal>
          <c:yVal>
            <c:numRef>
              <c:f>Inputs!$AG$6:$AG$7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87818"/>
        <c:axId val="1737268915"/>
      </c:scatterChart>
      <c:valAx>
        <c:axId val="1763887818"/>
        <c:scaling>
          <c:orientation val="minMax"/>
          <c:max val="200.0"/>
          <c:min val="-20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Radius from centerline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1737268915"/>
        <c:majorUnit val="50.0"/>
      </c:valAx>
      <c:valAx>
        <c:axId val="1737268915"/>
        <c:scaling>
          <c:orientation val="minMax"/>
          <c:max val="350.0"/>
          <c:min val="-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Axial position (mm, + toward tank)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1763887818"/>
        <c:majorUnit val="50.0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3A3F45"/>
              </a:solidFill>
              <a:latin typeface="Roboto Mon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A1414"/>
                </a:solidFill>
                <a:latin typeface="Roboto Mono"/>
              </a:defRPr>
            </a:pPr>
            <a:r>
              <a:rPr b="1" i="0" sz="1100">
                <a:solidFill>
                  <a:srgbClr val="7A1414"/>
                </a:solidFill>
                <a:latin typeface="Roboto Mono"/>
              </a:rPr>
              <a:t>Actuator length vs gimbal angle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Pin-to-pin length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B42318"/>
              </a:solidFill>
              <a:ln cmpd="sng">
                <a:solidFill>
                  <a:srgbClr val="B42318"/>
                </a:solidFill>
              </a:ln>
            </c:spPr>
          </c:marker>
          <c:xVal>
            <c:numRef>
              <c:f>Geometry!$T$5:$T$35</c:f>
            </c:numRef>
          </c:xVal>
          <c:yVal>
            <c:numRef>
              <c:f>Geometry!$U$5:$U$35</c:f>
              <c:numCache/>
            </c:numRef>
          </c:yVal>
        </c:ser>
        <c:ser>
          <c:idx val="1"/>
          <c:order val="1"/>
          <c:tx>
            <c:v>Actuator usable min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5B6770"/>
              </a:solidFill>
              <a:ln cmpd="sng">
                <a:solidFill>
                  <a:srgbClr val="5B6770"/>
                </a:solidFill>
              </a:ln>
            </c:spPr>
          </c:marker>
          <c:xVal>
            <c:numRef>
              <c:f>Geometry!$T$5:$T$35</c:f>
            </c:numRef>
          </c:xVal>
          <c:yVal>
            <c:numRef>
              <c:f>Geometry!$V$5:$V$35</c:f>
              <c:numCache/>
            </c:numRef>
          </c:yVal>
        </c:ser>
        <c:ser>
          <c:idx val="2"/>
          <c:order val="2"/>
          <c:tx>
            <c:v>Actuator usable max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7A1414"/>
              </a:solidFill>
              <a:ln cmpd="sng">
                <a:solidFill>
                  <a:srgbClr val="7A1414"/>
                </a:solidFill>
              </a:ln>
            </c:spPr>
          </c:marker>
          <c:xVal>
            <c:numRef>
              <c:f>Geometry!$T$5:$T$35</c:f>
            </c:numRef>
          </c:xVal>
          <c:yVal>
            <c:numRef>
              <c:f>Geometry!$W$5:$W$35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36495"/>
        <c:axId val="10253192"/>
      </c:scatterChart>
      <c:valAx>
        <c:axId val="335936495"/>
        <c:scaling>
          <c:orientation val="minMax"/>
          <c:max val="15.0"/>
          <c:min val="-15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Gimbal angle (deg)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10253192"/>
        <c:majorUnit val="5.0"/>
      </c:valAx>
      <c:valAx>
        <c:axId val="10253192"/>
        <c:scaling>
          <c:orientation val="minMax"/>
          <c:min val="2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Length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335936495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3A3F45"/>
              </a:solidFill>
              <a:latin typeface="Roboto Mon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A1414"/>
                </a:solidFill>
                <a:latin typeface="Roboto Mono"/>
              </a:defRPr>
            </a:pPr>
            <a:r>
              <a:rPr b="1" i="0" sz="1100">
                <a:solidFill>
                  <a:srgbClr val="7A1414"/>
                </a:solidFill>
                <a:latin typeface="Roboto Mono"/>
              </a:rPr>
              <a:t>Moment arm vs gimbal angle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Moment arm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8685B"/>
              </a:solidFill>
              <a:ln cmpd="sng">
                <a:solidFill>
                  <a:srgbClr val="E8685B"/>
                </a:solidFill>
              </a:ln>
            </c:spPr>
          </c:marker>
          <c:xVal>
            <c:numRef>
              <c:f>Geometry!$T$5:$T$35</c:f>
            </c:numRef>
          </c:xVal>
          <c:yVal>
            <c:numRef>
              <c:f>Geometry!$X$5:$X$35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28493"/>
        <c:axId val="1770887276"/>
      </c:scatterChart>
      <c:valAx>
        <c:axId val="1772428493"/>
        <c:scaling>
          <c:orientation val="minMax"/>
          <c:max val="15.0"/>
          <c:min val="-15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Gimbal angle (deg)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1770887276"/>
        <c:majorUnit val="5.0"/>
      </c:valAx>
      <c:valAx>
        <c:axId val="1770887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Arm (mm/rad)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1772428493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A1414"/>
                </a:solidFill>
                <a:latin typeface="Roboto Mono"/>
              </a:defRPr>
            </a:pPr>
            <a:r>
              <a:rPr b="1" i="0" sz="1100">
                <a:solidFill>
                  <a:srgbClr val="7A1414"/>
                </a:solidFill>
                <a:latin typeface="Roboto Mono"/>
              </a:rPr>
              <a:t>Running torque at max angle, by source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B42318"/>
            </a:solidFill>
            <a:ln cmpd="sng">
              <a:noFill/>
            </a:ln>
          </c:spPr>
          <c:invertIfNegative val="0"/>
          <c:cat>
            <c:strRef>
              <c:f>Loads!$A$10:$A$15</c:f>
            </c:strRef>
          </c:cat>
          <c:val>
            <c:numRef>
              <c:f>Loads!$D$10:$D$15</c:f>
              <c:numCache/>
            </c:numRef>
          </c:val>
        </c:ser>
        <c:axId val="305098175"/>
        <c:axId val="760496489"/>
      </c:barChart>
      <c:catAx>
        <c:axId val="3050981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760496489"/>
      </c:catAx>
      <c:valAx>
        <c:axId val="7604964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Torque (N·m)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305098175"/>
        <c:crosses val="max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A1414"/>
                </a:solidFill>
                <a:latin typeface="Roboto Mono"/>
              </a:defRPr>
            </a:pPr>
            <a:r>
              <a:rPr b="1" i="0" sz="1100">
                <a:solidFill>
                  <a:srgbClr val="7A1414"/>
                </a:solidFill>
                <a:latin typeface="Roboto Mono"/>
              </a:rPr>
              <a:t>Force needed vs actuator rating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Required (× margin)</c:v>
          </c:tx>
          <c:spPr>
            <a:solidFill>
              <a:srgbClr val="B42318"/>
            </a:solidFill>
            <a:ln cmpd="sng">
              <a:noFill/>
            </a:ln>
          </c:spPr>
          <c:invertIfNegative val="0"/>
          <c:cat>
            <c:strRef>
              <c:f>Loads!$T$5:$T$6</c:f>
            </c:strRef>
          </c:cat>
          <c:val>
            <c:numRef>
              <c:f>Loads!$U$5:$U$6</c:f>
              <c:numCache/>
            </c:numRef>
          </c:val>
        </c:ser>
        <c:ser>
          <c:idx val="1"/>
          <c:order val="1"/>
          <c:tx>
            <c:v>Selected actuator rating</c:v>
          </c:tx>
          <c:spPr>
            <a:solidFill>
              <a:srgbClr val="5B6770"/>
            </a:solidFill>
            <a:ln cmpd="sng">
              <a:noFill/>
            </a:ln>
          </c:spPr>
          <c:invertIfNegative val="0"/>
          <c:cat>
            <c:strRef>
              <c:f>Loads!$T$5:$T$6</c:f>
            </c:strRef>
          </c:cat>
          <c:val>
            <c:numRef>
              <c:f>Loads!$V$5:$V$6</c:f>
              <c:numCache/>
            </c:numRef>
          </c:val>
        </c:ser>
        <c:axId val="1471456757"/>
        <c:axId val="1638481282"/>
      </c:barChart>
      <c:catAx>
        <c:axId val="1471456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1638481282"/>
      </c:catAx>
      <c:valAx>
        <c:axId val="1638481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Force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1471456757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3A3F45"/>
              </a:solidFill>
              <a:latin typeface="Roboto Mon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A1414"/>
                </a:solidFill>
                <a:latin typeface="Roboto Mono"/>
              </a:defRPr>
            </a:pPr>
            <a:r>
              <a:rPr b="1" i="0" sz="1100">
                <a:solidFill>
                  <a:srgbClr val="7A1414"/>
                </a:solidFill>
                <a:latin typeface="Roboto Mono"/>
              </a:rPr>
              <a:t>Envelope vs gimbal angle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Actuator envelope radius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B42318"/>
              </a:solidFill>
              <a:ln cmpd="sng">
                <a:solidFill>
                  <a:srgbClr val="B42318"/>
                </a:solidFill>
              </a:ln>
            </c:spPr>
          </c:marker>
          <c:xVal>
            <c:numRef>
              <c:f>Validation!$X$5:$X$65</c:f>
            </c:numRef>
          </c:xVal>
          <c:yVal>
            <c:numRef>
              <c:f>Validation!$Y$5:$Y$65</c:f>
              <c:numCache/>
            </c:numRef>
          </c:yVal>
        </c:ser>
        <c:ser>
          <c:idx val="1"/>
          <c:order val="1"/>
          <c:tx>
            <c:v>6 in limit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7A1414"/>
              </a:solidFill>
              <a:ln cmpd="sng">
                <a:solidFill>
                  <a:srgbClr val="7A1414"/>
                </a:solidFill>
              </a:ln>
            </c:spPr>
          </c:marker>
          <c:xVal>
            <c:numRef>
              <c:f>Validation!$X$5:$X$65</c:f>
            </c:numRef>
          </c:xVal>
          <c:yVal>
            <c:numRef>
              <c:f>Validation!$Z$5:$Z$65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006537"/>
        <c:axId val="853176955"/>
      </c:scatterChart>
      <c:valAx>
        <c:axId val="743006537"/>
        <c:scaling>
          <c:orientation val="minMax"/>
          <c:max val="15.0"/>
          <c:min val="-15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Gimbal angle (deg)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853176955"/>
        <c:majorUnit val="5.0"/>
      </c:valAx>
      <c:valAx>
        <c:axId val="853176955"/>
        <c:scaling>
          <c:orientation val="minMax"/>
          <c:max val="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Radius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743006537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3A3F45"/>
              </a:solidFill>
              <a:latin typeface="Roboto Mon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A1414"/>
                </a:solidFill>
                <a:latin typeface="Roboto Mono"/>
              </a:defRPr>
            </a:pPr>
            <a:r>
              <a:rPr b="1" i="0" sz="1100">
                <a:solidFill>
                  <a:srgbClr val="7A1414"/>
                </a:solidFill>
                <a:latin typeface="Roboto Mono"/>
              </a:rPr>
              <a:t>Chamber clearance vs gimbal angle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Clearance margin to chamber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8685B"/>
              </a:solidFill>
              <a:ln cmpd="sng">
                <a:solidFill>
                  <a:srgbClr val="E8685B"/>
                </a:solidFill>
              </a:ln>
            </c:spPr>
          </c:marker>
          <c:xVal>
            <c:numRef>
              <c:f>Validation!$X$5:$X$65</c:f>
            </c:numRef>
          </c:xVal>
          <c:yVal>
            <c:numRef>
              <c:f>Validation!$AA$5:$AA$65</c:f>
              <c:numCache/>
            </c:numRef>
          </c:yVal>
        </c:ser>
        <c:ser>
          <c:idx val="1"/>
          <c:order val="1"/>
          <c:tx>
            <c:v>Interference below this line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5B6770"/>
              </a:solidFill>
              <a:ln cmpd="sng">
                <a:solidFill>
                  <a:srgbClr val="5B6770"/>
                </a:solidFill>
              </a:ln>
            </c:spPr>
          </c:marker>
          <c:xVal>
            <c:numRef>
              <c:f>Validation!$X$5:$X$65</c:f>
            </c:numRef>
          </c:xVal>
          <c:yVal>
            <c:numRef>
              <c:f>Validation!$AB$5:$AB$65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771451"/>
        <c:axId val="1460985894"/>
      </c:scatterChart>
      <c:valAx>
        <c:axId val="872771451"/>
        <c:scaling>
          <c:orientation val="minMax"/>
          <c:max val="15.0"/>
          <c:min val="-15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Gimbal angle (deg)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1460985894"/>
        <c:majorUnit val="5.0"/>
      </c:valAx>
      <c:valAx>
        <c:axId val="1460985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Margin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872771451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3A3F45"/>
              </a:solidFill>
              <a:latin typeface="Roboto Mon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A1414"/>
                </a:solidFill>
                <a:latin typeface="Roboto Mono"/>
              </a:defRPr>
            </a:pPr>
            <a:r>
              <a:rPr b="1" i="0" sz="1100">
                <a:solidFill>
                  <a:srgbClr val="7A1414"/>
                </a:solidFill>
                <a:latin typeface="Roboto Mono"/>
              </a:rPr>
              <a:t>Margin of safety by check (capped at 5)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B42318"/>
            </a:solidFill>
            <a:ln cmpd="sng">
              <a:noFill/>
            </a:ln>
          </c:spPr>
          <c:invertIfNegative val="0"/>
          <c:cat>
            <c:strRef>
              <c:f>'CAD dims'!$K$4:$K$20</c:f>
            </c:strRef>
          </c:cat>
          <c:val>
            <c:numRef>
              <c:f>'CAD dims'!$L$4:$L$20</c:f>
              <c:numCache/>
            </c:numRef>
          </c:val>
        </c:ser>
        <c:axId val="1295563420"/>
        <c:axId val="2132396225"/>
      </c:barChart>
      <c:catAx>
        <c:axId val="12955634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2132396225"/>
      </c:catAx>
      <c:valAx>
        <c:axId val="21323962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1295563420"/>
        <c:crosses val="max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A1414"/>
                </a:solidFill>
                <a:latin typeface="Roboto Mono"/>
              </a:defRPr>
            </a:pPr>
            <a:r>
              <a:rPr b="1" i="0" sz="1100">
                <a:solidFill>
                  <a:srgbClr val="7A1414"/>
                </a:solidFill>
                <a:latin typeface="Roboto Mono"/>
              </a:rPr>
              <a:t>Actuator thrust vs requirement (kN)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cont_kN</c:v>
          </c:tx>
          <c:spPr>
            <a:solidFill>
              <a:srgbClr val="B42318"/>
            </a:solidFill>
            <a:ln cmpd="sng">
              <a:noFill/>
            </a:ln>
          </c:spPr>
          <c:invertIfNegative val="0"/>
          <c:cat>
            <c:strRef>
              <c:f>Actuators!$A$2:$A$20</c:f>
            </c:strRef>
          </c:cat>
          <c:val>
            <c:numRef>
              <c:f>Actuators!$B$2:$B$20</c:f>
              <c:numCache/>
            </c:numRef>
          </c:val>
        </c:ser>
        <c:ser>
          <c:idx val="1"/>
          <c:order val="1"/>
          <c:tx>
            <c:v>peak_kN</c:v>
          </c:tx>
          <c:spPr>
            <a:solidFill>
              <a:srgbClr val="F4B4AE"/>
            </a:solidFill>
            <a:ln cmpd="sng">
              <a:noFill/>
            </a:ln>
          </c:spPr>
          <c:invertIfNegative val="0"/>
          <c:cat>
            <c:strRef>
              <c:f>Actuators!$A$2:$A$20</c:f>
            </c:strRef>
          </c:cat>
          <c:val>
            <c:numRef>
              <c:f>Actuators!$C$2:$C$20</c:f>
              <c:numCache/>
            </c:numRef>
          </c:val>
        </c:ser>
        <c:axId val="867241641"/>
        <c:axId val="774606147"/>
      </c:barChart>
      <c:lineChart>
        <c:ser>
          <c:idx val="2"/>
          <c:order val="2"/>
          <c:tx>
            <c:v>Required running (kN)</c:v>
          </c:tx>
          <c:spPr>
            <a:ln cmpd="sng" w="19050">
              <a:solidFill>
                <a:srgbClr val="7A1414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Actuators!$A$2:$A$20</c:f>
            </c:strRef>
          </c:cat>
          <c:val>
            <c:numRef>
              <c:f>Actuators!$AH$2:$AH$20</c:f>
              <c:numCache/>
            </c:numRef>
          </c:val>
          <c:smooth val="0"/>
        </c:ser>
        <c:ser>
          <c:idx val="3"/>
          <c:order val="3"/>
          <c:tx>
            <c:v>Required holding (kN)</c:v>
          </c:tx>
          <c:spPr>
            <a:ln cmpd="sng" w="19050">
              <a:solidFill>
                <a:srgbClr val="C982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Actuators!$A$2:$A$20</c:f>
            </c:strRef>
          </c:cat>
          <c:val>
            <c:numRef>
              <c:f>Actuators!$AI$2:$AI$20</c:f>
              <c:numCache/>
            </c:numRef>
          </c:val>
          <c:smooth val="0"/>
        </c:ser>
        <c:axId val="867241641"/>
        <c:axId val="774606147"/>
      </c:lineChart>
      <c:catAx>
        <c:axId val="867241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774606147"/>
      </c:catAx>
      <c:valAx>
        <c:axId val="774606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3A3F45"/>
                    </a:solidFill>
                    <a:latin typeface="Roboto Mono"/>
                  </a:defRPr>
                </a:pPr>
                <a:r>
                  <a:rPr b="0" i="0" sz="800">
                    <a:solidFill>
                      <a:srgbClr val="3A3F45"/>
                    </a:solidFill>
                    <a:latin typeface="Roboto Mono"/>
                  </a:rPr>
                  <a:t>Thrust (kN)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3A3F45"/>
                </a:solidFill>
                <a:latin typeface="Roboto Mono"/>
              </a:defRPr>
            </a:pPr>
          </a:p>
        </c:txPr>
        <c:crossAx val="867241641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3A3F45"/>
              </a:solidFill>
              <a:latin typeface="Roboto Mon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152400</xdr:rowOff>
    </xdr:from>
    <xdr:ext cx="4991100" cy="8324850"/>
    <xdr:graphicFrame>
      <xdr:nvGraphicFramePr>
        <xdr:cNvPr id="39791109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152400</xdr:rowOff>
    </xdr:from>
    <xdr:ext cx="5762625" cy="3209925"/>
    <xdr:graphicFrame>
      <xdr:nvGraphicFramePr>
        <xdr:cNvPr id="107113215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19</xdr:row>
      <xdr:rowOff>152400</xdr:rowOff>
    </xdr:from>
    <xdr:ext cx="5762625" cy="3209925"/>
    <xdr:graphicFrame>
      <xdr:nvGraphicFramePr>
        <xdr:cNvPr id="103843115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152400</xdr:rowOff>
    </xdr:from>
    <xdr:ext cx="6162675" cy="3209925"/>
    <xdr:graphicFrame>
      <xdr:nvGraphicFramePr>
        <xdr:cNvPr id="144785978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19</xdr:row>
      <xdr:rowOff>152400</xdr:rowOff>
    </xdr:from>
    <xdr:ext cx="6162675" cy="3209925"/>
    <xdr:graphicFrame>
      <xdr:nvGraphicFramePr>
        <xdr:cNvPr id="200059279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152400</xdr:rowOff>
    </xdr:from>
    <xdr:ext cx="5762625" cy="3209925"/>
    <xdr:graphicFrame>
      <xdr:nvGraphicFramePr>
        <xdr:cNvPr id="22231181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20</xdr:row>
      <xdr:rowOff>152400</xdr:rowOff>
    </xdr:from>
    <xdr:ext cx="5762625" cy="3209925"/>
    <xdr:graphicFrame>
      <xdr:nvGraphicFramePr>
        <xdr:cNvPr id="92905721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152400</xdr:rowOff>
    </xdr:from>
    <xdr:ext cx="6953250" cy="4943475"/>
    <xdr:graphicFrame>
      <xdr:nvGraphicFramePr>
        <xdr:cNvPr id="1551738052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11620500" cy="3590925"/>
    <xdr:graphicFrame>
      <xdr:nvGraphicFramePr>
        <xdr:cNvPr id="200664692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lomatic.com/products/product-details/ima-linear-servo-actuators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1E1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1.5"/>
    <col customWidth="1" min="2" max="2" width="24.63"/>
    <col customWidth="1" min="3" max="3" width="15.75"/>
    <col customWidth="1" min="4" max="4" width="73.88"/>
    <col customWidth="1" min="5" max="35" width="8.6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R3" s="4" t="s">
        <v>6</v>
      </c>
    </row>
    <row r="4">
      <c r="A4" s="5" t="s">
        <v>7</v>
      </c>
      <c r="B4" s="6"/>
      <c r="C4" s="6"/>
      <c r="D4" s="6"/>
      <c r="R4" s="7" t="s">
        <v>8</v>
      </c>
      <c r="S4" s="8"/>
      <c r="T4" s="7" t="s">
        <v>9</v>
      </c>
      <c r="U4" s="8"/>
      <c r="V4" s="7" t="s">
        <v>10</v>
      </c>
      <c r="W4" s="8"/>
      <c r="X4" s="7" t="s">
        <v>11</v>
      </c>
      <c r="Y4" s="8"/>
      <c r="Z4" s="7" t="s">
        <v>12</v>
      </c>
      <c r="AA4" s="8"/>
      <c r="AB4" s="7" t="s">
        <v>13</v>
      </c>
      <c r="AC4" s="8"/>
      <c r="AD4" s="7" t="s">
        <v>14</v>
      </c>
      <c r="AE4" s="8"/>
      <c r="AF4" s="7" t="s">
        <v>15</v>
      </c>
      <c r="AG4" s="8"/>
      <c r="AH4" s="7" t="s">
        <v>16</v>
      </c>
      <c r="AI4" s="8"/>
    </row>
    <row r="5">
      <c r="A5" s="9" t="s">
        <v>17</v>
      </c>
      <c r="B5" s="10">
        <v>250.0</v>
      </c>
      <c r="C5" s="9" t="s">
        <v>18</v>
      </c>
      <c r="D5" s="11" t="s">
        <v>19</v>
      </c>
      <c r="R5" s="7" t="s">
        <v>20</v>
      </c>
      <c r="S5" s="7" t="s">
        <v>21</v>
      </c>
      <c r="T5" s="7" t="s">
        <v>20</v>
      </c>
      <c r="U5" s="7" t="s">
        <v>21</v>
      </c>
      <c r="V5" s="7" t="s">
        <v>20</v>
      </c>
      <c r="W5" s="7" t="s">
        <v>21</v>
      </c>
      <c r="X5" s="7" t="s">
        <v>20</v>
      </c>
      <c r="Y5" s="7" t="s">
        <v>21</v>
      </c>
      <c r="Z5" s="7" t="s">
        <v>20</v>
      </c>
      <c r="AA5" s="7" t="s">
        <v>21</v>
      </c>
      <c r="AB5" s="7" t="s">
        <v>20</v>
      </c>
      <c r="AC5" s="7" t="s">
        <v>21</v>
      </c>
      <c r="AD5" s="7" t="s">
        <v>20</v>
      </c>
      <c r="AE5" s="7" t="s">
        <v>21</v>
      </c>
      <c r="AF5" s="7" t="s">
        <v>20</v>
      </c>
      <c r="AG5" s="7" t="s">
        <v>21</v>
      </c>
      <c r="AH5" s="7" t="s">
        <v>20</v>
      </c>
      <c r="AI5" s="7" t="s">
        <v>21</v>
      </c>
    </row>
    <row r="6">
      <c r="A6" s="9" t="s">
        <v>22</v>
      </c>
      <c r="B6" s="10">
        <v>100.0</v>
      </c>
      <c r="C6" s="9" t="s">
        <v>18</v>
      </c>
      <c r="D6" s="9" t="s">
        <v>23</v>
      </c>
      <c r="R6" s="13">
        <f>Inputs!$C$68</f>
        <v>88.9</v>
      </c>
      <c r="S6" s="13">
        <f>-Inputs!$B$68</f>
        <v>-60</v>
      </c>
      <c r="T6" s="13">
        <f>-Inputs!$C$68</f>
        <v>-88.9</v>
      </c>
      <c r="U6" s="13">
        <f>-Inputs!$B$68</f>
        <v>-60</v>
      </c>
      <c r="V6" s="16">
        <f t="shared" ref="V6:W6" si="1">0</f>
        <v>0</v>
      </c>
      <c r="W6" s="16">
        <f t="shared" si="1"/>
        <v>0</v>
      </c>
      <c r="X6" s="16">
        <f>Inputs!$B$5</f>
        <v>250</v>
      </c>
      <c r="Y6" s="16">
        <f>Inputs!$B$6</f>
        <v>100</v>
      </c>
      <c r="Z6" s="16">
        <f>Inputs!$B$5</f>
        <v>250</v>
      </c>
      <c r="AA6" s="16">
        <f>Inputs!$B$6</f>
        <v>100</v>
      </c>
      <c r="AB6" s="16">
        <f>Inputs!$B$5</f>
        <v>250</v>
      </c>
      <c r="AC6" s="16">
        <f>Inputs!$B$6</f>
        <v>100</v>
      </c>
      <c r="AD6" s="20">
        <f>Inputs!$B$38</f>
        <v>350</v>
      </c>
      <c r="AE6" s="16">
        <f>350</f>
        <v>350</v>
      </c>
      <c r="AF6" s="20">
        <f>-Inputs!$B$38</f>
        <v>-350</v>
      </c>
      <c r="AG6" s="16">
        <f>350</f>
        <v>350</v>
      </c>
      <c r="AH6" s="16">
        <f t="shared" ref="AH6:AI6" si="2">0</f>
        <v>0</v>
      </c>
      <c r="AI6" s="16">
        <f t="shared" si="2"/>
        <v>0</v>
      </c>
    </row>
    <row r="7">
      <c r="A7" s="9" t="s">
        <v>42</v>
      </c>
      <c r="B7" s="10">
        <v>-200.0</v>
      </c>
      <c r="C7" s="9" t="s">
        <v>18</v>
      </c>
      <c r="D7" s="11" t="s">
        <v>44</v>
      </c>
      <c r="R7" s="13">
        <f>IF(Inputs!$C$69=0,R6,Inputs!$C$69)</f>
        <v>64.855</v>
      </c>
      <c r="S7" s="13">
        <f>IF(Inputs!$C$69=0,S6,-Inputs!$B$69)</f>
        <v>-95</v>
      </c>
      <c r="T7" s="13">
        <f>IF(Inputs!$C$69=0,T6,-Inputs!$C$69)</f>
        <v>-64.855</v>
      </c>
      <c r="U7" s="13">
        <f>IF(Inputs!$C$69=0,U6,-Inputs!$B$69)</f>
        <v>-95</v>
      </c>
      <c r="V7" s="16">
        <f>0</f>
        <v>0</v>
      </c>
      <c r="W7" s="16">
        <f>-Inputs!$B$21</f>
        <v>-378.678</v>
      </c>
      <c r="X7" s="16">
        <f>Inputs!$B$11</f>
        <v>95.855</v>
      </c>
      <c r="Y7" s="16">
        <f>Inputs!$B$7</f>
        <v>-200</v>
      </c>
      <c r="Z7" s="27">
        <f>Geometry!D6</f>
        <v>129.1283827</v>
      </c>
      <c r="AA7" s="27">
        <f>Geometry!D7</f>
        <v>-180.3165045</v>
      </c>
      <c r="AB7" s="27">
        <f>Geometry!B6</f>
        <v>59.66911163</v>
      </c>
      <c r="AC7" s="27">
        <f>Geometry!B7</f>
        <v>-213.6065967</v>
      </c>
      <c r="AD7" s="20">
        <f>Inputs!$B$38</f>
        <v>350</v>
      </c>
      <c r="AE7" s="16">
        <f>-420</f>
        <v>-420</v>
      </c>
      <c r="AF7" s="20">
        <f>-Inputs!$B$38</f>
        <v>-350</v>
      </c>
      <c r="AG7" s="16">
        <f>-420</f>
        <v>-420</v>
      </c>
      <c r="AH7" s="8"/>
      <c r="AI7" s="8"/>
    </row>
    <row r="8">
      <c r="A8" s="9" t="s">
        <v>65</v>
      </c>
      <c r="B8" s="31">
        <v>64.855</v>
      </c>
      <c r="C8" s="9" t="s">
        <v>18</v>
      </c>
      <c r="D8" s="32"/>
      <c r="R8" s="13">
        <f>IF(Inputs!$C$70=0,R7,Inputs!$C$70)</f>
        <v>35.43</v>
      </c>
      <c r="S8" s="13">
        <f>IF(Inputs!$C$70=0,S7,-Inputs!$B$70)</f>
        <v>-299.718</v>
      </c>
      <c r="T8" s="13">
        <f>IF(Inputs!$C$70=0,T7,-Inputs!$C$70)</f>
        <v>-35.43</v>
      </c>
      <c r="U8" s="13">
        <f>IF(Inputs!$C$70=0,U7,-Inputs!$B$70)</f>
        <v>-299.718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>
      <c r="A9" s="9" t="s">
        <v>70</v>
      </c>
      <c r="B9" s="10">
        <v>1.0</v>
      </c>
      <c r="C9" s="9" t="s">
        <v>18</v>
      </c>
      <c r="D9" s="9" t="s">
        <v>71</v>
      </c>
      <c r="R9" s="13">
        <f>IF(Inputs!$C$71=0,R8,Inputs!$C$71)</f>
        <v>79</v>
      </c>
      <c r="S9" s="13">
        <f>IF(Inputs!$C$71=0,S8,-Inputs!$B$71)</f>
        <v>-398.678</v>
      </c>
      <c r="T9" s="13">
        <f>IF(Inputs!$C$71=0,T8,-Inputs!$C$71)</f>
        <v>-79</v>
      </c>
      <c r="U9" s="13">
        <f>IF(Inputs!$C$71=0,U8,-Inputs!$B$71)</f>
        <v>-398.678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>
      <c r="A10" s="9" t="s">
        <v>75</v>
      </c>
      <c r="B10" s="10">
        <v>30.0</v>
      </c>
      <c r="C10" s="9" t="s">
        <v>18</v>
      </c>
      <c r="D10" s="9" t="s">
        <v>76</v>
      </c>
      <c r="R10" s="13">
        <f>IF(Inputs!$C$72=0,R9,Inputs!$C$72)</f>
        <v>79</v>
      </c>
      <c r="S10" s="13">
        <f>IF(Inputs!$C$72=0,S9,-Inputs!$B$72)</f>
        <v>-398.678</v>
      </c>
      <c r="T10" s="13">
        <f>IF(Inputs!$C$72=0,T9,-Inputs!$C$72)</f>
        <v>-79</v>
      </c>
      <c r="U10" s="13">
        <f>IF(Inputs!$C$72=0,U9,-Inputs!$B$72)</f>
        <v>-398.678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>
      <c r="A11" s="9" t="s">
        <v>79</v>
      </c>
      <c r="B11" s="9">
        <f>B8+B9+B10</f>
        <v>95.855</v>
      </c>
      <c r="C11" s="9" t="s">
        <v>18</v>
      </c>
      <c r="D11" s="9" t="s">
        <v>80</v>
      </c>
    </row>
    <row r="12">
      <c r="A12" s="5" t="s">
        <v>81</v>
      </c>
      <c r="B12" s="33">
        <v>4.0</v>
      </c>
      <c r="C12" s="6"/>
      <c r="D12" s="6"/>
    </row>
    <row r="13">
      <c r="A13" s="9" t="s">
        <v>83</v>
      </c>
      <c r="B13" s="34">
        <v>10.0</v>
      </c>
      <c r="C13" s="9" t="s">
        <v>54</v>
      </c>
      <c r="D13" s="9"/>
    </row>
    <row r="14">
      <c r="A14" s="9" t="s">
        <v>84</v>
      </c>
      <c r="B14" s="34">
        <v>20.0</v>
      </c>
      <c r="C14" s="9" t="s">
        <v>85</v>
      </c>
      <c r="D14" s="9"/>
    </row>
    <row r="15">
      <c r="A15" s="9" t="s">
        <v>86</v>
      </c>
      <c r="B15" s="34">
        <v>30.0</v>
      </c>
      <c r="C15" s="9" t="s">
        <v>87</v>
      </c>
      <c r="D15" s="9"/>
    </row>
    <row r="16">
      <c r="A16" s="5" t="s">
        <v>88</v>
      </c>
      <c r="B16" s="6"/>
      <c r="C16" s="6"/>
      <c r="D16" s="6"/>
    </row>
    <row r="17">
      <c r="A17" s="9" t="s">
        <v>35</v>
      </c>
      <c r="B17" s="34">
        <v>2000.0</v>
      </c>
      <c r="C17" s="9" t="s">
        <v>89</v>
      </c>
      <c r="D17" s="9"/>
    </row>
    <row r="18">
      <c r="A18" s="9" t="s">
        <v>90</v>
      </c>
      <c r="B18" s="34">
        <v>20.0</v>
      </c>
      <c r="C18" s="9" t="s">
        <v>91</v>
      </c>
      <c r="D18" s="9"/>
    </row>
    <row r="19">
      <c r="A19" s="9" t="s">
        <v>92</v>
      </c>
      <c r="B19" s="34">
        <v>162.422</v>
      </c>
      <c r="C19" s="9" t="s">
        <v>18</v>
      </c>
      <c r="D19" s="9"/>
    </row>
    <row r="20">
      <c r="A20" s="9" t="s">
        <v>93</v>
      </c>
      <c r="B20" s="34">
        <v>279.718</v>
      </c>
      <c r="C20" s="9" t="s">
        <v>18</v>
      </c>
      <c r="D20" s="9"/>
    </row>
    <row r="21" ht="15.75" customHeight="1">
      <c r="A21" s="9" t="s">
        <v>94</v>
      </c>
      <c r="B21" s="34">
        <v>378.678</v>
      </c>
      <c r="C21" s="9" t="s">
        <v>18</v>
      </c>
      <c r="D21" s="9"/>
    </row>
    <row r="22" ht="15.75" customHeight="1">
      <c r="A22" s="9" t="s">
        <v>96</v>
      </c>
      <c r="B22" s="36">
        <v>5.0</v>
      </c>
      <c r="C22" s="9" t="s">
        <v>98</v>
      </c>
      <c r="D22" s="37" t="s">
        <v>99</v>
      </c>
    </row>
    <row r="23" ht="15.75" customHeight="1">
      <c r="A23" s="5" t="s">
        <v>101</v>
      </c>
      <c r="B23" s="6"/>
      <c r="C23" s="6"/>
      <c r="D23" s="6"/>
    </row>
    <row r="24" ht="15.75" customHeight="1">
      <c r="A24" s="9" t="s">
        <v>102</v>
      </c>
      <c r="B24" s="36">
        <v>12.7</v>
      </c>
      <c r="C24" s="9" t="s">
        <v>18</v>
      </c>
      <c r="D24" s="37" t="s">
        <v>103</v>
      </c>
    </row>
    <row r="25" ht="15.75" customHeight="1">
      <c r="A25" s="9" t="s">
        <v>104</v>
      </c>
      <c r="B25" s="36">
        <v>0.15</v>
      </c>
      <c r="C25" s="9" t="s">
        <v>105</v>
      </c>
      <c r="D25" s="37" t="s">
        <v>106</v>
      </c>
    </row>
    <row r="26" ht="15.75" customHeight="1">
      <c r="A26" s="9" t="s">
        <v>108</v>
      </c>
      <c r="B26" s="36">
        <v>1.5</v>
      </c>
      <c r="C26" s="9" t="s">
        <v>18</v>
      </c>
      <c r="D26" s="37" t="s">
        <v>103</v>
      </c>
    </row>
    <row r="27" ht="15.75" customHeight="1">
      <c r="A27" s="9" t="s">
        <v>109</v>
      </c>
      <c r="B27" s="36">
        <v>0.5</v>
      </c>
      <c r="C27" s="9" t="s">
        <v>54</v>
      </c>
      <c r="D27" s="37" t="s">
        <v>103</v>
      </c>
    </row>
    <row r="28" ht="15.75" customHeight="1">
      <c r="A28" s="9" t="s">
        <v>110</v>
      </c>
      <c r="B28" s="36">
        <v>0.1</v>
      </c>
      <c r="C28" s="9" t="s">
        <v>111</v>
      </c>
      <c r="D28" s="37" t="s">
        <v>112</v>
      </c>
    </row>
    <row r="29" ht="15.75" customHeight="1">
      <c r="A29" s="9" t="s">
        <v>114</v>
      </c>
      <c r="B29" s="36">
        <v>50.0</v>
      </c>
      <c r="C29" s="9" t="s">
        <v>66</v>
      </c>
      <c r="D29" s="37" t="s">
        <v>115</v>
      </c>
    </row>
    <row r="30" ht="15.75" customHeight="1">
      <c r="A30" s="9" t="s">
        <v>116</v>
      </c>
      <c r="B30" s="34">
        <v>1.5</v>
      </c>
      <c r="C30" s="9" t="s">
        <v>105</v>
      </c>
      <c r="D30" s="9"/>
    </row>
    <row r="31" ht="15.75" customHeight="1">
      <c r="A31" s="5" t="s">
        <v>33</v>
      </c>
      <c r="B31" s="6"/>
      <c r="C31" s="6"/>
      <c r="D31" s="6"/>
    </row>
    <row r="32" ht="15.75" customHeight="1">
      <c r="A32" s="9" t="s">
        <v>117</v>
      </c>
      <c r="B32" s="34" t="s">
        <v>118</v>
      </c>
      <c r="C32" s="9"/>
      <c r="D32" s="9"/>
    </row>
    <row r="33" ht="15.75" customHeight="1">
      <c r="A33" s="9" t="s">
        <v>119</v>
      </c>
      <c r="B33" s="34">
        <v>0.0</v>
      </c>
      <c r="C33" s="9" t="s">
        <v>18</v>
      </c>
      <c r="D33" s="9" t="s">
        <v>120</v>
      </c>
    </row>
    <row r="34" ht="15.75" customHeight="1">
      <c r="A34" s="9" t="s">
        <v>121</v>
      </c>
      <c r="B34" s="34">
        <v>5.0</v>
      </c>
      <c r="C34" s="9" t="s">
        <v>18</v>
      </c>
      <c r="D34" s="9" t="s">
        <v>122</v>
      </c>
    </row>
    <row r="35" ht="15.75" customHeight="1">
      <c r="A35" s="9" t="s">
        <v>123</v>
      </c>
      <c r="B35" s="36">
        <v>0.0</v>
      </c>
      <c r="C35" s="9" t="s">
        <v>18</v>
      </c>
      <c r="D35" s="37" t="s">
        <v>124</v>
      </c>
    </row>
    <row r="36" ht="15.75" customHeight="1">
      <c r="A36" s="9" t="s">
        <v>126</v>
      </c>
      <c r="B36" s="36">
        <v>40.0</v>
      </c>
      <c r="C36" s="9" t="s">
        <v>18</v>
      </c>
      <c r="D36" s="37" t="s">
        <v>127</v>
      </c>
    </row>
    <row r="37" ht="15.75" customHeight="1">
      <c r="A37" s="5" t="s">
        <v>128</v>
      </c>
      <c r="B37" s="6"/>
      <c r="C37" s="6"/>
      <c r="D37" s="6"/>
    </row>
    <row r="38" ht="15.75" customHeight="1">
      <c r="A38" s="11" t="s">
        <v>131</v>
      </c>
      <c r="B38" s="41">
        <v>350.0</v>
      </c>
      <c r="C38" s="9" t="s">
        <v>18</v>
      </c>
      <c r="D38" s="9" t="s">
        <v>132</v>
      </c>
    </row>
    <row r="39" ht="15.75" customHeight="1">
      <c r="A39" s="9" t="s">
        <v>133</v>
      </c>
      <c r="B39" s="34">
        <v>3.0</v>
      </c>
      <c r="C39" s="9" t="s">
        <v>18</v>
      </c>
      <c r="D39" s="9"/>
    </row>
    <row r="40" ht="15.75" customHeight="1">
      <c r="A40" s="9" t="s">
        <v>134</v>
      </c>
      <c r="B40" s="34">
        <v>25.0</v>
      </c>
      <c r="C40" s="9" t="s">
        <v>18</v>
      </c>
      <c r="D40" s="9" t="s">
        <v>135</v>
      </c>
    </row>
    <row r="41" ht="15.75" customHeight="1">
      <c r="A41" s="9" t="s">
        <v>136</v>
      </c>
      <c r="B41" s="36">
        <v>21.0</v>
      </c>
      <c r="C41" s="9" t="s">
        <v>18</v>
      </c>
      <c r="D41" s="37" t="s">
        <v>137</v>
      </c>
    </row>
    <row r="42" ht="15.75" customHeight="1">
      <c r="A42" s="17" t="s">
        <v>139</v>
      </c>
      <c r="B42" s="18"/>
      <c r="C42" s="18"/>
      <c r="D42" s="18"/>
    </row>
    <row r="43" ht="15.75" customHeight="1">
      <c r="A43" s="19" t="s">
        <v>140</v>
      </c>
      <c r="B43" s="43" t="s">
        <v>141</v>
      </c>
      <c r="C43" s="44"/>
      <c r="D43" s="19" t="s">
        <v>143</v>
      </c>
    </row>
    <row r="44" ht="15.75" customHeight="1">
      <c r="A44" s="19" t="s">
        <v>144</v>
      </c>
      <c r="B44" s="45">
        <v>1.5</v>
      </c>
      <c r="C44" s="19" t="s">
        <v>105</v>
      </c>
      <c r="D44" s="19" t="s">
        <v>145</v>
      </c>
    </row>
    <row r="45" ht="15.75" customHeight="1">
      <c r="A45" s="19" t="s">
        <v>146</v>
      </c>
      <c r="B45" s="46">
        <v>10.0</v>
      </c>
      <c r="C45" s="19" t="s">
        <v>18</v>
      </c>
      <c r="D45" s="19" t="s">
        <v>147</v>
      </c>
    </row>
    <row r="46" ht="15.75" customHeight="1">
      <c r="A46" s="47" t="s">
        <v>148</v>
      </c>
      <c r="B46" s="48">
        <v>0.0</v>
      </c>
      <c r="C46" s="47" t="s">
        <v>18</v>
      </c>
      <c r="D46" s="47" t="s">
        <v>149</v>
      </c>
    </row>
    <row r="47" ht="15.75" customHeight="1">
      <c r="A47" s="19" t="s">
        <v>151</v>
      </c>
      <c r="B47" s="46">
        <v>10.0</v>
      </c>
      <c r="C47" s="19" t="s">
        <v>18</v>
      </c>
      <c r="D47" s="44"/>
    </row>
    <row r="48" ht="15.75" customHeight="1">
      <c r="A48" s="19" t="s">
        <v>152</v>
      </c>
      <c r="B48" s="46">
        <v>9.0</v>
      </c>
      <c r="C48" s="19" t="s">
        <v>18</v>
      </c>
      <c r="D48" s="19" t="s">
        <v>153</v>
      </c>
    </row>
    <row r="49" ht="15.75" customHeight="1">
      <c r="A49" s="19" t="s">
        <v>154</v>
      </c>
      <c r="B49" s="49">
        <v>43.5</v>
      </c>
      <c r="C49" s="50" t="s">
        <v>18</v>
      </c>
      <c r="D49" s="44"/>
    </row>
    <row r="50" ht="15.75" customHeight="1">
      <c r="A50" s="19" t="s">
        <v>155</v>
      </c>
      <c r="B50" s="51">
        <v>4.0</v>
      </c>
      <c r="C50" s="50" t="s">
        <v>18</v>
      </c>
      <c r="D50" s="44"/>
    </row>
    <row r="51" ht="15.75" customHeight="1">
      <c r="A51" s="19" t="s">
        <v>157</v>
      </c>
      <c r="B51" s="51">
        <v>186.0</v>
      </c>
      <c r="C51" s="50" t="s">
        <v>158</v>
      </c>
      <c r="D51" s="19" t="s">
        <v>159</v>
      </c>
    </row>
    <row r="52" ht="15.75" customHeight="1">
      <c r="A52" s="19" t="s">
        <v>161</v>
      </c>
      <c r="B52" s="53">
        <v>0.7</v>
      </c>
      <c r="C52" s="50" t="s">
        <v>105</v>
      </c>
      <c r="D52" s="54" t="s">
        <v>163</v>
      </c>
    </row>
    <row r="53" ht="15.75" customHeight="1">
      <c r="A53" s="19" t="s">
        <v>164</v>
      </c>
      <c r="B53" s="51">
        <v>1.0</v>
      </c>
      <c r="C53" s="50" t="s">
        <v>105</v>
      </c>
      <c r="D53" s="19" t="s">
        <v>165</v>
      </c>
    </row>
    <row r="54" ht="15.75" customHeight="1">
      <c r="A54" s="47" t="s">
        <v>166</v>
      </c>
      <c r="B54" s="55">
        <v>655.0</v>
      </c>
      <c r="C54" s="47" t="s">
        <v>158</v>
      </c>
      <c r="D54" s="56" t="s">
        <v>167</v>
      </c>
    </row>
    <row r="55" ht="15.75" customHeight="1">
      <c r="A55" s="47" t="s">
        <v>168</v>
      </c>
      <c r="B55" s="55">
        <v>640.0</v>
      </c>
      <c r="C55" s="47" t="s">
        <v>158</v>
      </c>
      <c r="D55" s="56" t="s">
        <v>169</v>
      </c>
    </row>
    <row r="56" ht="15.75" customHeight="1">
      <c r="A56" s="47" t="s">
        <v>171</v>
      </c>
      <c r="B56" s="48">
        <v>1.0</v>
      </c>
      <c r="C56" s="47" t="s">
        <v>105</v>
      </c>
      <c r="D56" s="57"/>
    </row>
    <row r="57" ht="15.75" customHeight="1">
      <c r="A57" s="47" t="s">
        <v>173</v>
      </c>
      <c r="B57" s="55">
        <v>16.0</v>
      </c>
      <c r="C57" s="47" t="s">
        <v>18</v>
      </c>
      <c r="D57" s="56" t="s">
        <v>174</v>
      </c>
    </row>
    <row r="58" ht="15.75" customHeight="1">
      <c r="A58" s="47" t="s">
        <v>175</v>
      </c>
      <c r="B58" s="48">
        <v>0.5</v>
      </c>
      <c r="C58" s="47" t="s">
        <v>18</v>
      </c>
      <c r="D58" s="57"/>
    </row>
    <row r="59" ht="15.75" customHeight="1">
      <c r="A59" s="47" t="s">
        <v>176</v>
      </c>
      <c r="B59" s="46">
        <v>5.0</v>
      </c>
      <c r="C59" s="47" t="s">
        <v>18</v>
      </c>
      <c r="D59" s="57"/>
    </row>
    <row r="60" ht="15.75" customHeight="1">
      <c r="A60" s="47" t="s">
        <v>178</v>
      </c>
      <c r="B60" s="55">
        <v>241.0</v>
      </c>
      <c r="C60" s="47" t="s">
        <v>158</v>
      </c>
      <c r="D60" s="56" t="s">
        <v>179</v>
      </c>
    </row>
    <row r="61" ht="15.75" customHeight="1">
      <c r="A61" s="58" t="s">
        <v>180</v>
      </c>
      <c r="B61" s="59"/>
      <c r="C61" s="59"/>
      <c r="D61" s="59"/>
    </row>
    <row r="62" ht="15.75" customHeight="1">
      <c r="A62" s="47" t="s">
        <v>182</v>
      </c>
      <c r="B62" s="48">
        <v>9.80665</v>
      </c>
      <c r="C62" s="47" t="s">
        <v>183</v>
      </c>
      <c r="D62" s="57"/>
    </row>
    <row r="63" ht="15.75" customHeight="1">
      <c r="A63" s="47" t="s">
        <v>185</v>
      </c>
      <c r="B63" s="48">
        <v>4.44822</v>
      </c>
      <c r="C63" s="47" t="s">
        <v>186</v>
      </c>
      <c r="D63" s="57"/>
    </row>
    <row r="64" ht="15.75" customHeight="1">
      <c r="A64" s="47" t="s">
        <v>187</v>
      </c>
      <c r="B64" s="48">
        <v>0.453592</v>
      </c>
      <c r="C64" s="47" t="s">
        <v>188</v>
      </c>
      <c r="D64" s="57"/>
    </row>
    <row r="65" ht="15.75" customHeight="1">
      <c r="A65" s="8"/>
      <c r="B65" s="8"/>
      <c r="C65" s="8"/>
      <c r="D65" s="8"/>
    </row>
    <row r="66" ht="15.75" customHeight="1">
      <c r="A66" s="58" t="s">
        <v>189</v>
      </c>
      <c r="B66" s="59"/>
      <c r="C66" s="59"/>
      <c r="D66" s="59"/>
    </row>
    <row r="67" ht="15.75" customHeight="1">
      <c r="A67" s="61" t="s">
        <v>191</v>
      </c>
      <c r="B67" s="61" t="s">
        <v>192</v>
      </c>
      <c r="C67" s="61" t="s">
        <v>193</v>
      </c>
      <c r="D67" s="61" t="s">
        <v>194</v>
      </c>
    </row>
    <row r="68" ht="15.75" customHeight="1">
      <c r="A68" s="47" t="s">
        <v>195</v>
      </c>
      <c r="B68" s="49">
        <v>60.0</v>
      </c>
      <c r="C68" s="51">
        <f>177.8/2</f>
        <v>88.9</v>
      </c>
      <c r="D68" s="47" t="s">
        <v>197</v>
      </c>
    </row>
    <row r="69" ht="15.75" customHeight="1">
      <c r="A69" s="47" t="s">
        <v>198</v>
      </c>
      <c r="B69" s="49">
        <v>95.0</v>
      </c>
      <c r="C69" s="51">
        <v>64.855</v>
      </c>
      <c r="D69" s="47" t="s">
        <v>197</v>
      </c>
    </row>
    <row r="70" ht="15.75" customHeight="1">
      <c r="A70" s="47" t="s">
        <v>199</v>
      </c>
      <c r="B70" s="49">
        <v>299.718</v>
      </c>
      <c r="C70" s="51">
        <v>35.43</v>
      </c>
      <c r="D70" s="47" t="s">
        <v>197</v>
      </c>
    </row>
    <row r="71" ht="15.75" customHeight="1">
      <c r="A71" s="47" t="s">
        <v>200</v>
      </c>
      <c r="B71" s="49">
        <v>398.678</v>
      </c>
      <c r="C71" s="51">
        <v>79.0</v>
      </c>
      <c r="D71" s="47" t="s">
        <v>197</v>
      </c>
    </row>
    <row r="72" ht="15.75" customHeight="1">
      <c r="A72" s="47" t="s">
        <v>201</v>
      </c>
      <c r="B72" s="51">
        <v>0.0</v>
      </c>
      <c r="C72" s="51">
        <v>0.0</v>
      </c>
      <c r="D72" s="47" t="s">
        <v>197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43">
      <formula1>#REF!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2318"/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0"/>
  <cols>
    <col customWidth="1" min="1" max="1" width="57.0"/>
    <col customWidth="1" min="2" max="4" width="15.75"/>
    <col customWidth="1" min="5" max="5" width="13.38"/>
    <col customWidth="1" min="6" max="26" width="8.63"/>
  </cols>
  <sheetData>
    <row r="1">
      <c r="A1" s="12" t="s">
        <v>40</v>
      </c>
    </row>
    <row r="3">
      <c r="A3" s="3" t="s">
        <v>41</v>
      </c>
      <c r="B3" s="3" t="s">
        <v>46</v>
      </c>
      <c r="C3" s="3" t="s">
        <v>48</v>
      </c>
      <c r="D3" s="3" t="s">
        <v>50</v>
      </c>
      <c r="E3" s="3" t="s">
        <v>4</v>
      </c>
      <c r="T3" s="4" t="s">
        <v>26</v>
      </c>
    </row>
    <row r="4">
      <c r="A4" s="9" t="s">
        <v>51</v>
      </c>
      <c r="B4" s="25">
        <f>-Inputs!$B$13</f>
        <v>-10</v>
      </c>
      <c r="C4" s="25">
        <f>0</f>
        <v>0</v>
      </c>
      <c r="D4" s="25">
        <f>Inputs!$B$13</f>
        <v>10</v>
      </c>
      <c r="E4" s="9" t="s">
        <v>54</v>
      </c>
      <c r="T4" s="15" t="s">
        <v>29</v>
      </c>
      <c r="U4" s="15" t="s">
        <v>57</v>
      </c>
      <c r="V4" s="15" t="s">
        <v>58</v>
      </c>
      <c r="W4" s="15" t="s">
        <v>59</v>
      </c>
      <c r="X4" s="15" t="s">
        <v>60</v>
      </c>
    </row>
    <row r="5">
      <c r="A5" s="9" t="s">
        <v>61</v>
      </c>
      <c r="B5" s="30">
        <f t="shared" ref="B5:D5" si="1">RADIANS(B4)</f>
        <v>-0.1745329252</v>
      </c>
      <c r="C5" s="30">
        <f t="shared" si="1"/>
        <v>0</v>
      </c>
      <c r="D5" s="30">
        <f t="shared" si="1"/>
        <v>0.1745329252</v>
      </c>
      <c r="E5" s="9" t="s">
        <v>68</v>
      </c>
      <c r="T5" s="15">
        <v>-15.0</v>
      </c>
      <c r="U5" s="22">
        <f>SQRT(((Inputs!$B$11*COS(RADIANS(T5))-Inputs!$B$7*SIN(RADIANS(T5)))-Inputs!$B$5)^2+((Inputs!$B$11*SIN(RADIANS(T5))+Inputs!$B$7*COS(RADIANS(T5)))-Inputs!$B$6)^2)</f>
        <v>380.6238674</v>
      </c>
      <c r="V5" s="22">
        <f>Validation!$B$14</f>
        <v>302.0895155</v>
      </c>
      <c r="W5" s="22">
        <f>Validation!$B$15</f>
        <v>372.4790311</v>
      </c>
      <c r="X5" s="22">
        <f>ABS(Inputs!$B$5*(Inputs!$B$11*SIN(RADIANS(T5))+Inputs!$B$7*COS(RADIANS(T5)))-Inputs!$B$6*(Inputs!$B$11*COS(RADIANS(T5))-Inputs!$B$7*SIN(RADIANS(T5))))/U5</f>
        <v>153.908024</v>
      </c>
    </row>
    <row r="6">
      <c r="A6" s="9" t="s">
        <v>100</v>
      </c>
      <c r="B6" s="39">
        <f>Inputs!$B$11*COS(B5)-Inputs!$B$7*SIN(B5)</f>
        <v>59.66911163</v>
      </c>
      <c r="C6" s="39">
        <f>Inputs!$B$11*COS(C5)-Inputs!$B$7*SIN(C5)</f>
        <v>95.855</v>
      </c>
      <c r="D6" s="39">
        <f>Inputs!$B$11*COS(D5)-Inputs!$B$7*SIN(D5)</f>
        <v>129.1283827</v>
      </c>
      <c r="E6" s="9" t="s">
        <v>18</v>
      </c>
      <c r="T6" s="15">
        <v>-14.0</v>
      </c>
      <c r="U6" s="22">
        <f>SQRT(((Inputs!$B$11*COS(RADIANS(T6))-Inputs!$B$7*SIN(RADIANS(T6)))-Inputs!$B$5)^2+((Inputs!$B$11*SIN(RADIANS(T6))+Inputs!$B$7*COS(RADIANS(T6)))-Inputs!$B$6)^2)</f>
        <v>377.9235847</v>
      </c>
      <c r="V6" s="22">
        <f>Validation!$B$14</f>
        <v>302.0895155</v>
      </c>
      <c r="W6" s="22">
        <f>Validation!$B$15</f>
        <v>372.4790311</v>
      </c>
      <c r="X6" s="22">
        <f>ABS(Inputs!$B$5*(Inputs!$B$11*SIN(RADIANS(T6))+Inputs!$B$7*COS(RADIANS(T6)))-Inputs!$B$6*(Inputs!$B$11*COS(RADIANS(T6))-Inputs!$B$7*SIN(RADIANS(T6))))/U6</f>
        <v>155.5194655</v>
      </c>
    </row>
    <row r="7">
      <c r="A7" s="9" t="s">
        <v>160</v>
      </c>
      <c r="B7" s="39">
        <f>Inputs!$B$11*SIN(B5)+Inputs!$B$7*COS(B5)</f>
        <v>-213.6065967</v>
      </c>
      <c r="C7" s="39">
        <f>Inputs!$B$11*SIN(C5)+Inputs!$B$7*COS(C5)</f>
        <v>-200</v>
      </c>
      <c r="D7" s="39">
        <f>Inputs!$B$11*SIN(D5)+Inputs!$B$7*COS(D5)</f>
        <v>-180.3165045</v>
      </c>
      <c r="E7" s="9" t="s">
        <v>18</v>
      </c>
      <c r="T7" s="15">
        <v>-13.0</v>
      </c>
      <c r="U7" s="22">
        <f>SQRT(((Inputs!$B$11*COS(RADIANS(T7))-Inputs!$B$7*SIN(RADIANS(T7)))-Inputs!$B$5)^2+((Inputs!$B$11*SIN(RADIANS(T7))+Inputs!$B$7*COS(RADIANS(T7)))-Inputs!$B$6)^2)</f>
        <v>375.1952884</v>
      </c>
      <c r="V7" s="22">
        <f>Validation!$B$14</f>
        <v>302.0895155</v>
      </c>
      <c r="W7" s="22">
        <f>Validation!$B$15</f>
        <v>372.4790311</v>
      </c>
      <c r="X7" s="22">
        <f>ABS(Inputs!$B$5*(Inputs!$B$11*SIN(RADIANS(T7))+Inputs!$B$7*COS(RADIANS(T7)))-Inputs!$B$6*(Inputs!$B$11*COS(RADIANS(T7))-Inputs!$B$7*SIN(RADIANS(T7))))/U7</f>
        <v>157.118117</v>
      </c>
    </row>
    <row r="8">
      <c r="A8" s="9" t="s">
        <v>205</v>
      </c>
      <c r="B8" s="39">
        <f>SQRT((B6-Inputs!$B$5)^2+(B7-Inputs!$B$6)^2)</f>
        <v>366.8445782</v>
      </c>
      <c r="C8" s="39">
        <f>SQRT((C6-Inputs!$B$5)^2+(C7-Inputs!$B$6)^2)</f>
        <v>337.2842733</v>
      </c>
      <c r="D8" s="39">
        <f>SQRT((D6-Inputs!$B$5)^2+(D7-Inputs!$B$6)^2)</f>
        <v>305.2659342</v>
      </c>
      <c r="E8" s="9" t="s">
        <v>18</v>
      </c>
      <c r="T8" s="15">
        <v>-12.0</v>
      </c>
      <c r="U8" s="22">
        <f>SQRT(((Inputs!$B$11*COS(RADIANS(T8))-Inputs!$B$7*SIN(RADIANS(T8)))-Inputs!$B$5)^2+((Inputs!$B$11*SIN(RADIANS(T8))+Inputs!$B$7*COS(RADIANS(T8)))-Inputs!$B$6)^2)</f>
        <v>372.4392031</v>
      </c>
      <c r="V8" s="22">
        <f>Validation!$B$14</f>
        <v>302.0895155</v>
      </c>
      <c r="W8" s="22">
        <f>Validation!$B$15</f>
        <v>372.4790311</v>
      </c>
      <c r="X8" s="22">
        <f>ABS(Inputs!$B$5*(Inputs!$B$11*SIN(RADIANS(T8))+Inputs!$B$7*COS(RADIANS(T8)))-Inputs!$B$6*(Inputs!$B$11*COS(RADIANS(T8))-Inputs!$B$7*SIN(RADIANS(T8))))/U8</f>
        <v>158.7038189</v>
      </c>
    </row>
    <row r="9">
      <c r="A9" s="9" t="s">
        <v>210</v>
      </c>
      <c r="B9" s="39">
        <f t="shared" ref="B9:D9" si="2">B8-$C$8</f>
        <v>29.56030487</v>
      </c>
      <c r="C9" s="39">
        <f t="shared" si="2"/>
        <v>0</v>
      </c>
      <c r="D9" s="39">
        <f t="shared" si="2"/>
        <v>-32.01833912</v>
      </c>
      <c r="E9" s="9" t="s">
        <v>18</v>
      </c>
      <c r="T9" s="15">
        <v>-11.0</v>
      </c>
      <c r="U9" s="22">
        <f>SQRT(((Inputs!$B$11*COS(RADIANS(T9))-Inputs!$B$7*SIN(RADIANS(T9)))-Inputs!$B$5)^2+((Inputs!$B$11*SIN(RADIANS(T9))+Inputs!$B$7*COS(RADIANS(T9)))-Inputs!$B$6)^2)</f>
        <v>369.6555563</v>
      </c>
      <c r="V9" s="22">
        <f>Validation!$B$14</f>
        <v>302.0895155</v>
      </c>
      <c r="W9" s="22">
        <f>Validation!$B$15</f>
        <v>372.4790311</v>
      </c>
      <c r="X9" s="22">
        <f>ABS(Inputs!$B$5*(Inputs!$B$11*SIN(RADIANS(T9))+Inputs!$B$7*COS(RADIANS(T9)))-Inputs!$B$6*(Inputs!$B$11*COS(RADIANS(T9))-Inputs!$B$7*SIN(RADIANS(T9))))/U9</f>
        <v>160.2764105</v>
      </c>
    </row>
    <row r="10">
      <c r="A10" s="9" t="s">
        <v>212</v>
      </c>
      <c r="B10" s="25">
        <f>Inputs!$B$5*B7-Inputs!$B$6*B6</f>
        <v>-59368.56033</v>
      </c>
      <c r="C10" s="25">
        <f>Inputs!$B$5*C7-Inputs!$B$6*C6</f>
        <v>-59585.5</v>
      </c>
      <c r="D10" s="25">
        <f>Inputs!$B$5*D7-Inputs!$B$6*D6</f>
        <v>-57991.9644</v>
      </c>
      <c r="E10" s="9" t="s">
        <v>217</v>
      </c>
      <c r="T10" s="15">
        <v>-10.0</v>
      </c>
      <c r="U10" s="22">
        <f>SQRT(((Inputs!$B$11*COS(RADIANS(T10))-Inputs!$B$7*SIN(RADIANS(T10)))-Inputs!$B$5)^2+((Inputs!$B$11*SIN(RADIANS(T10))+Inputs!$B$7*COS(RADIANS(T10)))-Inputs!$B$6)^2)</f>
        <v>366.8445782</v>
      </c>
      <c r="V10" s="22">
        <f>Validation!$B$14</f>
        <v>302.0895155</v>
      </c>
      <c r="W10" s="22">
        <f>Validation!$B$15</f>
        <v>372.4790311</v>
      </c>
      <c r="X10" s="22">
        <f>ABS(Inputs!$B$5*(Inputs!$B$11*SIN(RADIANS(T10))+Inputs!$B$7*COS(RADIANS(T10)))-Inputs!$B$6*(Inputs!$B$11*COS(RADIANS(T10))-Inputs!$B$7*SIN(RADIANS(T10))))/U10</f>
        <v>161.8357306</v>
      </c>
    </row>
    <row r="11">
      <c r="A11" s="9" t="s">
        <v>220</v>
      </c>
      <c r="B11" s="39">
        <f t="shared" ref="B11:D11" si="3">B10/B8</f>
        <v>-161.8357306</v>
      </c>
      <c r="C11" s="39">
        <f t="shared" si="3"/>
        <v>-176.6625506</v>
      </c>
      <c r="D11" s="39">
        <f t="shared" si="3"/>
        <v>-189.9719487</v>
      </c>
      <c r="E11" s="9" t="s">
        <v>221</v>
      </c>
      <c r="T11" s="15">
        <v>-9.0</v>
      </c>
      <c r="U11" s="22">
        <f>SQRT(((Inputs!$B$11*COS(RADIANS(T11))-Inputs!$B$7*SIN(RADIANS(T11)))-Inputs!$B$5)^2+((Inputs!$B$11*SIN(RADIANS(T11))+Inputs!$B$7*COS(RADIANS(T11)))-Inputs!$B$6)^2)</f>
        <v>364.0065018</v>
      </c>
      <c r="V11" s="22">
        <f>Validation!$B$14</f>
        <v>302.0895155</v>
      </c>
      <c r="W11" s="22">
        <f>Validation!$B$15</f>
        <v>372.4790311</v>
      </c>
      <c r="X11" s="22">
        <f>ABS(Inputs!$B$5*(Inputs!$B$11*SIN(RADIANS(T11))+Inputs!$B$7*COS(RADIANS(T11)))-Inputs!$B$6*(Inputs!$B$11*COS(RADIANS(T11))-Inputs!$B$7*SIN(RADIANS(T11))))/U11</f>
        <v>163.3816166</v>
      </c>
    </row>
    <row r="12">
      <c r="A12" s="9" t="s">
        <v>224</v>
      </c>
      <c r="B12" s="25">
        <f>Inputs!$B$5*B6+Inputs!$B$6*B7</f>
        <v>-6443.381759</v>
      </c>
      <c r="C12" s="25">
        <f>Inputs!$B$5*C6+Inputs!$B$6*C7</f>
        <v>3963.75</v>
      </c>
      <c r="D12" s="25">
        <f>Inputs!$B$5*D6+Inputs!$B$6*D7</f>
        <v>14250.44522</v>
      </c>
      <c r="E12" s="9" t="s">
        <v>217</v>
      </c>
      <c r="T12" s="15">
        <v>-8.0</v>
      </c>
      <c r="U12" s="22">
        <f>SQRT(((Inputs!$B$11*COS(RADIANS(T12))-Inputs!$B$7*SIN(RADIANS(T12)))-Inputs!$B$5)^2+((Inputs!$B$11*SIN(RADIANS(T12))+Inputs!$B$7*COS(RADIANS(T12)))-Inputs!$B$6)^2)</f>
        <v>361.141563</v>
      </c>
      <c r="V12" s="22">
        <f>Validation!$B$14</f>
        <v>302.0895155</v>
      </c>
      <c r="W12" s="22">
        <f>Validation!$B$15</f>
        <v>372.4790311</v>
      </c>
      <c r="X12" s="22">
        <f>ABS(Inputs!$B$5*(Inputs!$B$11*SIN(RADIANS(T12))+Inputs!$B$7*COS(RADIANS(T12)))-Inputs!$B$6*(Inputs!$B$11*COS(RADIANS(T12))-Inputs!$B$7*SIN(RADIANS(T12))))/U12</f>
        <v>164.9139049</v>
      </c>
    </row>
    <row r="13">
      <c r="A13" s="9" t="s">
        <v>228</v>
      </c>
      <c r="B13" s="39">
        <f t="shared" ref="B13:D13" si="4">(B12-B11^2)/B8</f>
        <v>-88.95915983</v>
      </c>
      <c r="C13" s="39">
        <f t="shared" si="4"/>
        <v>-80.78024663</v>
      </c>
      <c r="D13" s="39">
        <f t="shared" si="4"/>
        <v>-71.54056067</v>
      </c>
      <c r="E13" s="9" t="s">
        <v>229</v>
      </c>
      <c r="T13" s="15">
        <v>-7.0</v>
      </c>
      <c r="U13" s="22">
        <f>SQRT(((Inputs!$B$11*COS(RADIANS(T13))-Inputs!$B$7*SIN(RADIANS(T13)))-Inputs!$B$5)^2+((Inputs!$B$11*SIN(RADIANS(T13))+Inputs!$B$7*COS(RADIANS(T13)))-Inputs!$B$6)^2)</f>
        <v>358.2500006</v>
      </c>
      <c r="V13" s="22">
        <f>Validation!$B$14</f>
        <v>302.0895155</v>
      </c>
      <c r="W13" s="22">
        <f>Validation!$B$15</f>
        <v>372.4790311</v>
      </c>
      <c r="X13" s="22">
        <f>ABS(Inputs!$B$5*(Inputs!$B$11*SIN(RADIANS(T13))+Inputs!$B$7*COS(RADIANS(T13)))-Inputs!$B$6*(Inputs!$B$11*COS(RADIANS(T13))-Inputs!$B$7*SIN(RADIANS(T13))))/U13</f>
        <v>166.4324305</v>
      </c>
    </row>
    <row r="14">
      <c r="A14" s="9" t="s">
        <v>232</v>
      </c>
      <c r="B14" s="30">
        <f>RADIANS(Inputs!$B$14)</f>
        <v>0.3490658504</v>
      </c>
      <c r="C14" s="30">
        <f>RADIANS(Inputs!$B$14)</f>
        <v>0.3490658504</v>
      </c>
      <c r="D14" s="30">
        <f>RADIANS(Inputs!$B$14)</f>
        <v>0.3490658504</v>
      </c>
      <c r="E14" s="9" t="s">
        <v>233</v>
      </c>
      <c r="T14" s="15">
        <v>-6.0</v>
      </c>
      <c r="U14" s="22">
        <f>SQRT(((Inputs!$B$11*COS(RADIANS(T14))-Inputs!$B$7*SIN(RADIANS(T14)))-Inputs!$B$5)^2+((Inputs!$B$11*SIN(RADIANS(T14))+Inputs!$B$7*COS(RADIANS(T14)))-Inputs!$B$6)^2)</f>
        <v>355.3320562</v>
      </c>
      <c r="V14" s="22">
        <f>Validation!$B$14</f>
        <v>302.0895155</v>
      </c>
      <c r="W14" s="22">
        <f>Validation!$B$15</f>
        <v>372.4790311</v>
      </c>
      <c r="X14" s="22">
        <f>ABS(Inputs!$B$5*(Inputs!$B$11*SIN(RADIANS(T14))+Inputs!$B$7*COS(RADIANS(T14)))-Inputs!$B$6*(Inputs!$B$11*COS(RADIANS(T14))-Inputs!$B$7*SIN(RADIANS(T14))))/U14</f>
        <v>167.9370269</v>
      </c>
    </row>
    <row r="15">
      <c r="A15" s="9" t="s">
        <v>238</v>
      </c>
      <c r="B15" s="30">
        <f>RADIANS(Inputs!$B$15)</f>
        <v>0.5235987756</v>
      </c>
      <c r="C15" s="30">
        <f>RADIANS(Inputs!$B$15)</f>
        <v>0.5235987756</v>
      </c>
      <c r="D15" s="30">
        <f>RADIANS(Inputs!$B$15)</f>
        <v>0.5235987756</v>
      </c>
      <c r="E15" s="9" t="s">
        <v>239</v>
      </c>
      <c r="T15" s="15">
        <v>-5.0</v>
      </c>
      <c r="U15" s="22">
        <f>SQRT(((Inputs!$B$11*COS(RADIANS(T15))-Inputs!$B$7*SIN(RADIANS(T15)))-Inputs!$B$5)^2+((Inputs!$B$11*SIN(RADIANS(T15))+Inputs!$B$7*COS(RADIANS(T15)))-Inputs!$B$6)^2)</f>
        <v>352.3879745</v>
      </c>
      <c r="V15" s="22">
        <f>Validation!$B$14</f>
        <v>302.0895155</v>
      </c>
      <c r="W15" s="22">
        <f>Validation!$B$15</f>
        <v>372.4790311</v>
      </c>
      <c r="X15" s="22">
        <f>ABS(Inputs!$B$5*(Inputs!$B$11*SIN(RADIANS(T15))+Inputs!$B$7*COS(RADIANS(T15)))-Inputs!$B$6*(Inputs!$B$11*COS(RADIANS(T15))-Inputs!$B$7*SIN(RADIANS(T15))))/U15</f>
        <v>169.4275261</v>
      </c>
    </row>
    <row r="16">
      <c r="A16" s="9" t="s">
        <v>256</v>
      </c>
      <c r="B16" s="39">
        <f t="shared" ref="B16:D16" si="5">ABS(B11)*B14</f>
        <v>56.49132693</v>
      </c>
      <c r="C16" s="39">
        <f t="shared" si="5"/>
        <v>61.66686346</v>
      </c>
      <c r="D16" s="39">
        <f t="shared" si="5"/>
        <v>66.31271984</v>
      </c>
      <c r="E16" s="9" t="s">
        <v>208</v>
      </c>
      <c r="T16" s="15">
        <v>-4.0</v>
      </c>
      <c r="U16" s="22">
        <f>SQRT(((Inputs!$B$11*COS(RADIANS(T16))-Inputs!$B$7*SIN(RADIANS(T16)))-Inputs!$B$5)^2+((Inputs!$B$11*SIN(RADIANS(T16))+Inputs!$B$7*COS(RADIANS(T16)))-Inputs!$B$6)^2)</f>
        <v>349.4180029</v>
      </c>
      <c r="V16" s="22">
        <f>Validation!$B$14</f>
        <v>302.0895155</v>
      </c>
      <c r="W16" s="22">
        <f>Validation!$B$15</f>
        <v>372.4790311</v>
      </c>
      <c r="X16" s="22">
        <f>ABS(Inputs!$B$5*(Inputs!$B$11*SIN(RADIANS(T16))+Inputs!$B$7*COS(RADIANS(T16)))-Inputs!$B$6*(Inputs!$B$11*COS(RADIANS(T16))-Inputs!$B$7*SIN(RADIANS(T16))))/U16</f>
        <v>170.9037584</v>
      </c>
    </row>
    <row r="17">
      <c r="A17" s="9" t="s">
        <v>257</v>
      </c>
      <c r="B17" s="39">
        <f t="shared" ref="B17:D17" si="6">ABS(B13)*B14^2+ABS(B11)*B15</f>
        <v>95.57639429</v>
      </c>
      <c r="C17" s="39">
        <f t="shared" si="6"/>
        <v>102.3431233</v>
      </c>
      <c r="D17" s="39">
        <f t="shared" si="6"/>
        <v>108.1860802</v>
      </c>
      <c r="E17" s="9" t="s">
        <v>258</v>
      </c>
      <c r="T17" s="15">
        <v>-3.0</v>
      </c>
      <c r="U17" s="22">
        <f>SQRT(((Inputs!$B$11*COS(RADIANS(T17))-Inputs!$B$7*SIN(RADIANS(T17)))-Inputs!$B$5)^2+((Inputs!$B$11*SIN(RADIANS(T17))+Inputs!$B$7*COS(RADIANS(T17)))-Inputs!$B$6)^2)</f>
        <v>346.4223919</v>
      </c>
      <c r="V17" s="22">
        <f>Validation!$B$14</f>
        <v>302.0895155</v>
      </c>
      <c r="W17" s="22">
        <f>Validation!$B$15</f>
        <v>372.4790311</v>
      </c>
      <c r="X17" s="22">
        <f>ABS(Inputs!$B$5*(Inputs!$B$11*SIN(RADIANS(T17))+Inputs!$B$7*COS(RADIANS(T17)))-Inputs!$B$6*(Inputs!$B$11*COS(RADIANS(T17))-Inputs!$B$7*SIN(RADIANS(T17))))/U17</f>
        <v>172.3655519</v>
      </c>
    </row>
    <row r="18">
      <c r="T18" s="15">
        <v>-2.0</v>
      </c>
      <c r="U18" s="22">
        <f>SQRT(((Inputs!$B$11*COS(RADIANS(T18))-Inputs!$B$7*SIN(RADIANS(T18)))-Inputs!$B$5)^2+((Inputs!$B$11*SIN(RADIANS(T18))+Inputs!$B$7*COS(RADIANS(T18)))-Inputs!$B$6)^2)</f>
        <v>343.4013951</v>
      </c>
      <c r="V18" s="22">
        <f>Validation!$B$14</f>
        <v>302.0895155</v>
      </c>
      <c r="W18" s="22">
        <f>Validation!$B$15</f>
        <v>372.4790311</v>
      </c>
      <c r="X18" s="22">
        <f>ABS(Inputs!$B$5*(Inputs!$B$11*SIN(RADIANS(T18))+Inputs!$B$7*COS(RADIANS(T18)))-Inputs!$B$6*(Inputs!$B$11*COS(RADIANS(T18))-Inputs!$B$7*SIN(RADIANS(T18))))/U18</f>
        <v>173.812733</v>
      </c>
    </row>
    <row r="19">
      <c r="T19" s="15">
        <v>-1.0</v>
      </c>
      <c r="U19" s="22">
        <f>SQRT(((Inputs!$B$11*COS(RADIANS(T19))-Inputs!$B$7*SIN(RADIANS(T19)))-Inputs!$B$5)^2+((Inputs!$B$11*SIN(RADIANS(T19))+Inputs!$B$7*COS(RADIANS(T19)))-Inputs!$B$6)^2)</f>
        <v>340.355269</v>
      </c>
      <c r="V19" s="22">
        <f>Validation!$B$14</f>
        <v>302.0895155</v>
      </c>
      <c r="W19" s="22">
        <f>Validation!$B$15</f>
        <v>372.4790311</v>
      </c>
      <c r="X19" s="22">
        <f>ABS(Inputs!$B$5*(Inputs!$B$11*SIN(RADIANS(T19))+Inputs!$B$7*COS(RADIANS(T19)))-Inputs!$B$6*(Inputs!$B$11*COS(RADIANS(T19))-Inputs!$B$7*SIN(RADIANS(T19))))/U19</f>
        <v>175.2451254</v>
      </c>
    </row>
    <row r="20">
      <c r="A20" s="5" t="s">
        <v>203</v>
      </c>
      <c r="B20" s="6"/>
      <c r="C20" s="6"/>
      <c r="D20" s="6"/>
      <c r="E20" s="6"/>
      <c r="T20" s="15">
        <v>0.0</v>
      </c>
      <c r="U20" s="22">
        <f>SQRT(((Inputs!$B$11*COS(RADIANS(T20))-Inputs!$B$7*SIN(RADIANS(T20)))-Inputs!$B$5)^2+((Inputs!$B$11*SIN(RADIANS(T20))+Inputs!$B$7*COS(RADIANS(T20)))-Inputs!$B$6)^2)</f>
        <v>337.2842733</v>
      </c>
      <c r="V20" s="22">
        <f>Validation!$B$14</f>
        <v>302.0895155</v>
      </c>
      <c r="W20" s="22">
        <f>Validation!$B$15</f>
        <v>372.4790311</v>
      </c>
      <c r="X20" s="22">
        <f>ABS(Inputs!$B$5*(Inputs!$B$11*SIN(RADIANS(T20))+Inputs!$B$7*COS(RADIANS(T20)))-Inputs!$B$6*(Inputs!$B$11*COS(RADIANS(T20))-Inputs!$B$7*SIN(RADIANS(T20))))/U20</f>
        <v>176.6625506</v>
      </c>
    </row>
    <row r="21" ht="15.75" customHeight="1">
      <c r="A21" s="60" t="s">
        <v>272</v>
      </c>
      <c r="B21" s="75">
        <f t="shared" ref="B21:B22" si="7">MAX(B16:D16)</f>
        <v>66.31271984</v>
      </c>
      <c r="C21" s="9" t="s">
        <v>208</v>
      </c>
      <c r="T21" s="15">
        <v>1.0</v>
      </c>
      <c r="U21" s="22">
        <f>SQRT(((Inputs!$B$11*COS(RADIANS(T21))-Inputs!$B$7*SIN(RADIANS(T21)))-Inputs!$B$5)^2+((Inputs!$B$11*SIN(RADIANS(T21))+Inputs!$B$7*COS(RADIANS(T21)))-Inputs!$B$6)^2)</f>
        <v>334.1886708</v>
      </c>
      <c r="V21" s="22">
        <f>Validation!$B$14</f>
        <v>302.0895155</v>
      </c>
      <c r="W21" s="22">
        <f>Validation!$B$15</f>
        <v>372.4790311</v>
      </c>
      <c r="X21" s="22">
        <f>ABS(Inputs!$B$5*(Inputs!$B$11*SIN(RADIANS(T21))+Inputs!$B$7*COS(RADIANS(T21)))-Inputs!$B$6*(Inputs!$B$11*COS(RADIANS(T21))-Inputs!$B$7*SIN(RADIANS(T21))))/U21</f>
        <v>178.064827</v>
      </c>
    </row>
    <row r="22" ht="15.75" customHeight="1">
      <c r="A22" s="60" t="s">
        <v>276</v>
      </c>
      <c r="B22" s="75">
        <f t="shared" si="7"/>
        <v>108.1860802</v>
      </c>
      <c r="C22" s="9" t="s">
        <v>258</v>
      </c>
      <c r="T22" s="15">
        <v>2.0</v>
      </c>
      <c r="U22" s="22">
        <f>SQRT(((Inputs!$B$11*COS(RADIANS(T22))-Inputs!$B$7*SIN(RADIANS(T22)))-Inputs!$B$5)^2+((Inputs!$B$11*SIN(RADIANS(T22))+Inputs!$B$7*COS(RADIANS(T22)))-Inputs!$B$6)^2)</f>
        <v>331.0687275</v>
      </c>
      <c r="V22" s="22">
        <f>Validation!$B$14</f>
        <v>302.0895155</v>
      </c>
      <c r="W22" s="22">
        <f>Validation!$B$15</f>
        <v>372.4790311</v>
      </c>
      <c r="X22" s="22">
        <f>ABS(Inputs!$B$5*(Inputs!$B$11*SIN(RADIANS(T22))+Inputs!$B$7*COS(RADIANS(T22)))-Inputs!$B$6*(Inputs!$B$11*COS(RADIANS(T22))-Inputs!$B$7*SIN(RADIANS(T22))))/U22</f>
        <v>179.4517703</v>
      </c>
    </row>
    <row r="23" ht="15.75" customHeight="1">
      <c r="A23" s="60" t="s">
        <v>278</v>
      </c>
      <c r="B23" s="75">
        <f>MAX(B8:D8)-MIN(B8:D8)</f>
        <v>61.57864399</v>
      </c>
      <c r="C23" s="9" t="s">
        <v>18</v>
      </c>
      <c r="T23" s="15">
        <v>3.0</v>
      </c>
      <c r="U23" s="22">
        <f>SQRT(((Inputs!$B$11*COS(RADIANS(T23))-Inputs!$B$7*SIN(RADIANS(T23)))-Inputs!$B$5)^2+((Inputs!$B$11*SIN(RADIANS(T23))+Inputs!$B$7*COS(RADIANS(T23)))-Inputs!$B$6)^2)</f>
        <v>327.9247126</v>
      </c>
      <c r="V23" s="22">
        <f>Validation!$B$14</f>
        <v>302.0895155</v>
      </c>
      <c r="W23" s="22">
        <f>Validation!$B$15</f>
        <v>372.4790311</v>
      </c>
      <c r="X23" s="22">
        <f>ABS(Inputs!$B$5*(Inputs!$B$11*SIN(RADIANS(T23))+Inputs!$B$7*COS(RADIANS(T23)))-Inputs!$B$6*(Inputs!$B$11*COS(RADIANS(T23))-Inputs!$B$7*SIN(RADIANS(T23))))/U23</f>
        <v>180.8231927</v>
      </c>
    </row>
    <row r="24" ht="15.75" customHeight="1">
      <c r="A24" s="60" t="s">
        <v>281</v>
      </c>
      <c r="B24" s="75">
        <f>MIN(ABS(B11),ABS(C11),ABS(D11))</f>
        <v>161.8357306</v>
      </c>
      <c r="C24" s="9" t="s">
        <v>221</v>
      </c>
      <c r="T24" s="15">
        <v>4.0</v>
      </c>
      <c r="U24" s="22">
        <f>SQRT(((Inputs!$B$11*COS(RADIANS(T24))-Inputs!$B$7*SIN(RADIANS(T24)))-Inputs!$B$5)^2+((Inputs!$B$11*SIN(RADIANS(T24))+Inputs!$B$7*COS(RADIANS(T24)))-Inputs!$B$6)^2)</f>
        <v>324.7568987</v>
      </c>
      <c r="V24" s="22">
        <f>Validation!$B$14</f>
        <v>302.0895155</v>
      </c>
      <c r="W24" s="22">
        <f>Validation!$B$15</f>
        <v>372.4790311</v>
      </c>
      <c r="X24" s="22">
        <f>ABS(Inputs!$B$5*(Inputs!$B$11*SIN(RADIANS(T24))+Inputs!$B$7*COS(RADIANS(T24)))-Inputs!$B$6*(Inputs!$B$11*COS(RADIANS(T24))-Inputs!$B$7*SIN(RADIANS(T24))))/U24</f>
        <v>182.1789028</v>
      </c>
    </row>
    <row r="25" ht="15.75" customHeight="1">
      <c r="A25" s="60" t="s">
        <v>287</v>
      </c>
      <c r="B25" s="75">
        <f>MIN(B8:D8)</f>
        <v>305.2659342</v>
      </c>
      <c r="C25" s="9" t="s">
        <v>18</v>
      </c>
      <c r="T25" s="15">
        <v>5.0</v>
      </c>
      <c r="U25" s="22">
        <f>SQRT(((Inputs!$B$11*COS(RADIANS(T25))-Inputs!$B$7*SIN(RADIANS(T25)))-Inputs!$B$5)^2+((Inputs!$B$11*SIN(RADIANS(T25))+Inputs!$B$7*COS(RADIANS(T25)))-Inputs!$B$6)^2)</f>
        <v>321.5655618</v>
      </c>
      <c r="V25" s="22">
        <f>Validation!$B$14</f>
        <v>302.0895155</v>
      </c>
      <c r="W25" s="22">
        <f>Validation!$B$15</f>
        <v>372.4790311</v>
      </c>
      <c r="X25" s="22">
        <f>ABS(Inputs!$B$5*(Inputs!$B$11*SIN(RADIANS(T25))+Inputs!$B$7*COS(RADIANS(T25)))-Inputs!$B$6*(Inputs!$B$11*COS(RADIANS(T25))-Inputs!$B$7*SIN(RADIANS(T25))))/U25</f>
        <v>183.5187054</v>
      </c>
    </row>
    <row r="26" ht="15.75" customHeight="1">
      <c r="A26" s="60" t="s">
        <v>291</v>
      </c>
      <c r="B26" s="75">
        <f>MAX(B8:D8)</f>
        <v>366.8445782</v>
      </c>
      <c r="C26" s="9" t="s">
        <v>18</v>
      </c>
      <c r="T26" s="15">
        <v>6.0</v>
      </c>
      <c r="U26" s="22">
        <f>SQRT(((Inputs!$B$11*COS(RADIANS(T26))-Inputs!$B$7*SIN(RADIANS(T26)))-Inputs!$B$5)^2+((Inputs!$B$11*SIN(RADIANS(T26))+Inputs!$B$7*COS(RADIANS(T26)))-Inputs!$B$6)^2)</f>
        <v>318.3509812</v>
      </c>
      <c r="V26" s="22">
        <f>Validation!$B$14</f>
        <v>302.0895155</v>
      </c>
      <c r="W26" s="22">
        <f>Validation!$B$15</f>
        <v>372.4790311</v>
      </c>
      <c r="X26" s="22">
        <f>ABS(Inputs!$B$5*(Inputs!$B$11*SIN(RADIANS(T26))+Inputs!$B$7*COS(RADIANS(T26)))-Inputs!$B$6*(Inputs!$B$11*COS(RADIANS(T26))-Inputs!$B$7*SIN(RADIANS(T26))))/U26</f>
        <v>184.8424009</v>
      </c>
    </row>
    <row r="27" ht="15.75" customHeight="1">
      <c r="T27" s="15">
        <v>7.0</v>
      </c>
      <c r="U27" s="22">
        <f>SQRT(((Inputs!$B$11*COS(RADIANS(T27))-Inputs!$B$7*SIN(RADIANS(T27)))-Inputs!$B$5)^2+((Inputs!$B$11*SIN(RADIANS(T27))+Inputs!$B$7*COS(RADIANS(T27)))-Inputs!$B$6)^2)</f>
        <v>315.1134397</v>
      </c>
      <c r="V27" s="22">
        <f>Validation!$B$14</f>
        <v>302.0895155</v>
      </c>
      <c r="W27" s="22">
        <f>Validation!$B$15</f>
        <v>372.4790311</v>
      </c>
      <c r="X27" s="22">
        <f>ABS(Inputs!$B$5*(Inputs!$B$11*SIN(RADIANS(T27))+Inputs!$B$7*COS(RADIANS(T27)))-Inputs!$B$6*(Inputs!$B$11*COS(RADIANS(T27))-Inputs!$B$7*SIN(RADIANS(T27))))/U27</f>
        <v>186.1497852</v>
      </c>
    </row>
    <row r="28" ht="15.75" customHeight="1">
      <c r="A28" s="2" t="s">
        <v>332</v>
      </c>
      <c r="T28" s="15">
        <v>8.0</v>
      </c>
      <c r="U28" s="22">
        <f>SQRT(((Inputs!$B$11*COS(RADIANS(T28))-Inputs!$B$7*SIN(RADIANS(T28)))-Inputs!$B$5)^2+((Inputs!$B$11*SIN(RADIANS(T28))+Inputs!$B$7*COS(RADIANS(T28)))-Inputs!$B$6)^2)</f>
        <v>311.853224</v>
      </c>
      <c r="V28" s="22">
        <f>Validation!$B$14</f>
        <v>302.0895155</v>
      </c>
      <c r="W28" s="22">
        <f>Validation!$B$15</f>
        <v>372.4790311</v>
      </c>
      <c r="X28" s="22">
        <f>ABS(Inputs!$B$5*(Inputs!$B$11*SIN(RADIANS(T28))+Inputs!$B$7*COS(RADIANS(T28)))-Inputs!$B$6*(Inputs!$B$11*COS(RADIANS(T28))-Inputs!$B$7*SIN(RADIANS(T28))))/U28</f>
        <v>187.4406488</v>
      </c>
    </row>
    <row r="29" ht="15.75" customHeight="1">
      <c r="T29" s="15">
        <v>9.0</v>
      </c>
      <c r="U29" s="22">
        <f>SQRT(((Inputs!$B$11*COS(RADIANS(T29))-Inputs!$B$7*SIN(RADIANS(T29)))-Inputs!$B$5)^2+((Inputs!$B$11*SIN(RADIANS(T29))+Inputs!$B$7*COS(RADIANS(T29)))-Inputs!$B$6)^2)</f>
        <v>308.5706241</v>
      </c>
      <c r="V29" s="22">
        <f>Validation!$B$14</f>
        <v>302.0895155</v>
      </c>
      <c r="W29" s="22">
        <f>Validation!$B$15</f>
        <v>372.4790311</v>
      </c>
      <c r="X29" s="22">
        <f>ABS(Inputs!$B$5*(Inputs!$B$11*SIN(RADIANS(T29))+Inputs!$B$7*COS(RADIANS(T29)))-Inputs!$B$6*(Inputs!$B$11*COS(RADIANS(T29))-Inputs!$B$7*SIN(RADIANS(T29))))/U29</f>
        <v>188.714777</v>
      </c>
    </row>
    <row r="30" ht="15.75" customHeight="1">
      <c r="T30" s="15">
        <v>10.0</v>
      </c>
      <c r="U30" s="22">
        <f>SQRT(((Inputs!$B$11*COS(RADIANS(T30))-Inputs!$B$7*SIN(RADIANS(T30)))-Inputs!$B$5)^2+((Inputs!$B$11*SIN(RADIANS(T30))+Inputs!$B$7*COS(RADIANS(T30)))-Inputs!$B$6)^2)</f>
        <v>305.2659342</v>
      </c>
      <c r="V30" s="22">
        <f>Validation!$B$14</f>
        <v>302.0895155</v>
      </c>
      <c r="W30" s="22">
        <f>Validation!$B$15</f>
        <v>372.4790311</v>
      </c>
      <c r="X30" s="22">
        <f>ABS(Inputs!$B$5*(Inputs!$B$11*SIN(RADIANS(T30))+Inputs!$B$7*COS(RADIANS(T30)))-Inputs!$B$6*(Inputs!$B$11*COS(RADIANS(T30))-Inputs!$B$7*SIN(RADIANS(T30))))/U30</f>
        <v>189.9719487</v>
      </c>
    </row>
    <row r="31" ht="15.75" customHeight="1">
      <c r="T31" s="15">
        <v>11.0</v>
      </c>
      <c r="U31" s="22">
        <f>SQRT(((Inputs!$B$11*COS(RADIANS(T31))-Inputs!$B$7*SIN(RADIANS(T31)))-Inputs!$B$5)^2+((Inputs!$B$11*SIN(RADIANS(T31))+Inputs!$B$7*COS(RADIANS(T31)))-Inputs!$B$6)^2)</f>
        <v>301.9394521</v>
      </c>
      <c r="V31" s="22">
        <f>Validation!$B$14</f>
        <v>302.0895155</v>
      </c>
      <c r="W31" s="22">
        <f>Validation!$B$15</f>
        <v>372.4790311</v>
      </c>
      <c r="X31" s="22">
        <f>ABS(Inputs!$B$5*(Inputs!$B$11*SIN(RADIANS(T31))+Inputs!$B$7*COS(RADIANS(T31)))-Inputs!$B$6*(Inputs!$B$11*COS(RADIANS(T31))-Inputs!$B$7*SIN(RADIANS(T31))))/U31</f>
        <v>191.2119366</v>
      </c>
    </row>
    <row r="32" ht="15.75" customHeight="1">
      <c r="T32" s="15">
        <v>12.0</v>
      </c>
      <c r="U32" s="22">
        <f>SQRT(((Inputs!$B$11*COS(RADIANS(T32))-Inputs!$B$7*SIN(RADIANS(T32)))-Inputs!$B$5)^2+((Inputs!$B$11*SIN(RADIANS(T32))+Inputs!$B$7*COS(RADIANS(T32)))-Inputs!$B$6)^2)</f>
        <v>298.5914798</v>
      </c>
      <c r="V32" s="22">
        <f>Validation!$B$14</f>
        <v>302.0895155</v>
      </c>
      <c r="W32" s="22">
        <f>Validation!$B$15</f>
        <v>372.4790311</v>
      </c>
      <c r="X32" s="22">
        <f>ABS(Inputs!$B$5*(Inputs!$B$11*SIN(RADIANS(T32))+Inputs!$B$7*COS(RADIANS(T32)))-Inputs!$B$6*(Inputs!$B$11*COS(RADIANS(T32))-Inputs!$B$7*SIN(RADIANS(T32))))/U32</f>
        <v>192.434506</v>
      </c>
    </row>
    <row r="33" ht="15.75" customHeight="1">
      <c r="T33" s="15">
        <v>13.0</v>
      </c>
      <c r="U33" s="22">
        <f>SQRT(((Inputs!$B$11*COS(RADIANS(T33))-Inputs!$B$7*SIN(RADIANS(T33)))-Inputs!$B$5)^2+((Inputs!$B$11*SIN(RADIANS(T33))+Inputs!$B$7*COS(RADIANS(T33)))-Inputs!$B$6)^2)</f>
        <v>295.2223234</v>
      </c>
      <c r="V33" s="22">
        <f>Validation!$B$14</f>
        <v>302.0895155</v>
      </c>
      <c r="W33" s="22">
        <f>Validation!$B$15</f>
        <v>372.4790311</v>
      </c>
      <c r="X33" s="22">
        <f>ABS(Inputs!$B$5*(Inputs!$B$11*SIN(RADIANS(T33))+Inputs!$B$7*COS(RADIANS(T33)))-Inputs!$B$6*(Inputs!$B$11*COS(RADIANS(T33))-Inputs!$B$7*SIN(RADIANS(T33))))/U33</f>
        <v>193.6394142</v>
      </c>
    </row>
    <row r="34" ht="15.75" customHeight="1">
      <c r="T34" s="15">
        <v>14.0</v>
      </c>
      <c r="U34" s="22">
        <f>SQRT(((Inputs!$B$11*COS(RADIANS(T34))-Inputs!$B$7*SIN(RADIANS(T34)))-Inputs!$B$5)^2+((Inputs!$B$11*SIN(RADIANS(T34))+Inputs!$B$7*COS(RADIANS(T34)))-Inputs!$B$6)^2)</f>
        <v>291.8322933</v>
      </c>
      <c r="V34" s="22">
        <f>Validation!$B$14</f>
        <v>302.0895155</v>
      </c>
      <c r="W34" s="22">
        <f>Validation!$B$15</f>
        <v>372.4790311</v>
      </c>
      <c r="X34" s="22">
        <f>ABS(Inputs!$B$5*(Inputs!$B$11*SIN(RADIANS(T34))+Inputs!$B$7*COS(RADIANS(T34)))-Inputs!$B$6*(Inputs!$B$11*COS(RADIANS(T34))-Inputs!$B$7*SIN(RADIANS(T34))))/U34</f>
        <v>194.8264102</v>
      </c>
    </row>
    <row r="35" ht="15.75" customHeight="1">
      <c r="T35" s="15">
        <v>15.0</v>
      </c>
      <c r="U35" s="22">
        <f>SQRT(((Inputs!$B$11*COS(RADIANS(T35))-Inputs!$B$7*SIN(RADIANS(T35)))-Inputs!$B$5)^2+((Inputs!$B$11*SIN(RADIANS(T35))+Inputs!$B$7*COS(RADIANS(T35)))-Inputs!$B$6)^2)</f>
        <v>288.4217045</v>
      </c>
      <c r="V35" s="22">
        <f>Validation!$B$14</f>
        <v>302.0895155</v>
      </c>
      <c r="W35" s="22">
        <f>Validation!$B$15</f>
        <v>372.4790311</v>
      </c>
      <c r="X35" s="22">
        <f>ABS(Inputs!$B$5*(Inputs!$B$11*SIN(RADIANS(T35))+Inputs!$B$7*COS(RADIANS(T35)))-Inputs!$B$6*(Inputs!$B$11*COS(RADIANS(T35))-Inputs!$B$7*SIN(RADIANS(T35))))/U35</f>
        <v>195.9952336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41.13"/>
    <col customWidth="1" min="2" max="4" width="15.75"/>
    <col customWidth="1" min="5" max="5" width="13.38"/>
    <col customWidth="1" min="6" max="26" width="8.63"/>
  </cols>
  <sheetData>
    <row r="1">
      <c r="A1" s="14" t="s">
        <v>28</v>
      </c>
      <c r="B1" s="8"/>
      <c r="C1" s="8"/>
      <c r="D1" s="8"/>
      <c r="E1" s="8"/>
    </row>
    <row r="2">
      <c r="A2" s="8"/>
      <c r="B2" s="8"/>
      <c r="C2" s="8"/>
      <c r="D2" s="8"/>
      <c r="E2" s="8"/>
    </row>
    <row r="3">
      <c r="A3" s="17" t="s">
        <v>34</v>
      </c>
      <c r="B3" s="18"/>
      <c r="C3" s="18"/>
      <c r="D3" s="18"/>
      <c r="E3" s="18"/>
      <c r="T3" s="4" t="s">
        <v>26</v>
      </c>
    </row>
    <row r="4">
      <c r="A4" s="19" t="s">
        <v>35</v>
      </c>
      <c r="B4" s="21">
        <f>Inputs!$B$17*Inputs!$B$63</f>
        <v>8896.44</v>
      </c>
      <c r="C4" s="19" t="s">
        <v>36</v>
      </c>
      <c r="D4" s="8"/>
      <c r="E4" s="8"/>
      <c r="T4" s="15"/>
      <c r="U4" s="15" t="s">
        <v>37</v>
      </c>
      <c r="V4" s="15" t="s">
        <v>38</v>
      </c>
    </row>
    <row r="5">
      <c r="A5" s="19" t="s">
        <v>39</v>
      </c>
      <c r="B5" s="23">
        <f>Inputs!$B$18*Inputs!$B$64</f>
        <v>9.07184</v>
      </c>
      <c r="C5" s="19" t="s">
        <v>43</v>
      </c>
      <c r="D5" s="8"/>
      <c r="E5" s="8"/>
      <c r="T5" s="15" t="s">
        <v>45</v>
      </c>
      <c r="U5" s="24">
        <f t="shared" ref="U5:U6" si="1">B34</f>
        <v>1063.451165</v>
      </c>
      <c r="V5" s="24">
        <f>Validation!B28</f>
        <v>2000</v>
      </c>
    </row>
    <row r="6">
      <c r="A6" s="19" t="s">
        <v>47</v>
      </c>
      <c r="B6" s="26">
        <f>B5*(Inputs!$B$19/1000)^2+B5*(Inputs!$B$21/1000)^2/12</f>
        <v>0.3477296</v>
      </c>
      <c r="C6" s="19" t="s">
        <v>52</v>
      </c>
      <c r="D6" s="8"/>
      <c r="E6" s="8"/>
      <c r="T6" s="15" t="s">
        <v>53</v>
      </c>
      <c r="U6" s="24">
        <f t="shared" si="1"/>
        <v>3158.132871</v>
      </c>
      <c r="V6" s="24">
        <f>Validation!B29</f>
        <v>6010</v>
      </c>
    </row>
    <row r="7">
      <c r="A7" s="8"/>
      <c r="B7" s="8"/>
      <c r="C7" s="8"/>
      <c r="D7" s="8"/>
      <c r="E7" s="8"/>
    </row>
    <row r="8">
      <c r="A8" s="28" t="s">
        <v>55</v>
      </c>
      <c r="B8" s="28" t="s">
        <v>46</v>
      </c>
      <c r="C8" s="28" t="s">
        <v>48</v>
      </c>
      <c r="D8" s="28" t="s">
        <v>50</v>
      </c>
      <c r="E8" s="28" t="s">
        <v>4</v>
      </c>
    </row>
    <row r="9">
      <c r="A9" s="19" t="s">
        <v>62</v>
      </c>
      <c r="B9" s="29">
        <f>Geometry!B4</f>
        <v>-10</v>
      </c>
      <c r="C9" s="29">
        <f>Geometry!C4</f>
        <v>0</v>
      </c>
      <c r="D9" s="29">
        <f>Geometry!D4</f>
        <v>10</v>
      </c>
      <c r="E9" s="19" t="s">
        <v>54</v>
      </c>
    </row>
    <row r="10">
      <c r="A10" s="19" t="s">
        <v>63</v>
      </c>
      <c r="B10" s="23">
        <f>$B$6*Geometry!B15</f>
        <v>0.1820707928</v>
      </c>
      <c r="C10" s="23">
        <f>$B$6*Geometry!C15</f>
        <v>0.1820707928</v>
      </c>
      <c r="D10" s="23">
        <f>$B$6*Geometry!D15</f>
        <v>0.1820707928</v>
      </c>
      <c r="E10" s="19" t="s">
        <v>66</v>
      </c>
    </row>
    <row r="11">
      <c r="A11" s="19" t="s">
        <v>67</v>
      </c>
      <c r="B11" s="23">
        <f>$B$5*Inputs!$B$22*Inputs!$B$62*(Inputs!$B$19/1000)*SIN(ABS(Geometry!B5))</f>
        <v>12.54588048</v>
      </c>
      <c r="C11" s="23">
        <f>$B$5*Inputs!$B$22*Inputs!$B$62*(Inputs!$B$19/1000)*SIN(ABS(Geometry!C5))</f>
        <v>0</v>
      </c>
      <c r="D11" s="23">
        <f>$B$5*Inputs!$B$22*Inputs!$B$62*(Inputs!$B$19/1000)*SIN(ABS(Geometry!D5))</f>
        <v>12.54588048</v>
      </c>
      <c r="E11" s="19" t="s">
        <v>66</v>
      </c>
    </row>
    <row r="12">
      <c r="A12" s="19" t="s">
        <v>72</v>
      </c>
      <c r="B12" s="23">
        <f>Inputs!$B$25*$B$4*Inputs!$B$24/1000</f>
        <v>16.9477182</v>
      </c>
      <c r="C12" s="23">
        <f>Inputs!$B$25*$B$4*Inputs!$B$24/1000</f>
        <v>16.9477182</v>
      </c>
      <c r="D12" s="23">
        <f>Inputs!$B$25*$B$4*Inputs!$B$24/1000</f>
        <v>16.9477182</v>
      </c>
      <c r="E12" s="19" t="s">
        <v>66</v>
      </c>
    </row>
    <row r="13">
      <c r="A13" s="19" t="s">
        <v>74</v>
      </c>
      <c r="B13" s="23">
        <f>$B$4*Inputs!$B$26/1000</f>
        <v>13.34466</v>
      </c>
      <c r="C13" s="23">
        <f>$B$4*Inputs!$B$26/1000</f>
        <v>13.34466</v>
      </c>
      <c r="D13" s="23">
        <f>$B$4*Inputs!$B$26/1000</f>
        <v>13.34466</v>
      </c>
      <c r="E13" s="19" t="s">
        <v>66</v>
      </c>
    </row>
    <row r="14">
      <c r="A14" s="19" t="s">
        <v>77</v>
      </c>
      <c r="B14" s="23">
        <f>$B$4*SIN(RADIANS(Inputs!$B$27))*Inputs!$B$20/1000</f>
        <v>21.71593475</v>
      </c>
      <c r="C14" s="23">
        <f>$B$4*SIN(RADIANS(Inputs!$B$27))*Inputs!$B$20/1000</f>
        <v>21.71593475</v>
      </c>
      <c r="D14" s="23">
        <f>$B$4*SIN(RADIANS(Inputs!$B$27))*Inputs!$B$20/1000</f>
        <v>21.71593475</v>
      </c>
      <c r="E14" s="19" t="s">
        <v>66</v>
      </c>
    </row>
    <row r="15">
      <c r="A15" s="19" t="s">
        <v>82</v>
      </c>
      <c r="B15" s="23">
        <f>Inputs!$B$29*ABS(B9)/Inputs!$B$13</f>
        <v>50</v>
      </c>
      <c r="C15" s="23">
        <f>Inputs!$B$29*ABS(C9)/Inputs!$B$13</f>
        <v>0</v>
      </c>
      <c r="D15" s="23">
        <f>Inputs!$B$29*ABS(D9)/Inputs!$B$13</f>
        <v>50</v>
      </c>
      <c r="E15" s="19" t="s">
        <v>66</v>
      </c>
    </row>
    <row r="16">
      <c r="A16" s="35" t="s">
        <v>95</v>
      </c>
      <c r="B16" s="38">
        <f t="shared" ref="B16:D16" si="2">SUM(B10:B15)</f>
        <v>114.7362642</v>
      </c>
      <c r="C16" s="38">
        <f t="shared" si="2"/>
        <v>52.19038375</v>
      </c>
      <c r="D16" s="38">
        <f t="shared" si="2"/>
        <v>114.7362642</v>
      </c>
      <c r="E16" s="19" t="s">
        <v>66</v>
      </c>
    </row>
    <row r="17">
      <c r="A17" s="19" t="s">
        <v>107</v>
      </c>
      <c r="B17" s="40">
        <f>ABS(Geometry!B11)/1000</f>
        <v>0.1618357306</v>
      </c>
      <c r="C17" s="40">
        <f>ABS(Geometry!C11)/1000</f>
        <v>0.1766625506</v>
      </c>
      <c r="D17" s="40">
        <f>ABS(Geometry!D11)/1000</f>
        <v>0.1899719487</v>
      </c>
      <c r="E17" s="19" t="s">
        <v>129</v>
      </c>
    </row>
    <row r="18">
      <c r="A18" s="19" t="s">
        <v>130</v>
      </c>
      <c r="B18" s="21">
        <f t="shared" ref="B18:D18" si="3">B16/B17</f>
        <v>708.9674437</v>
      </c>
      <c r="C18" s="21">
        <f t="shared" si="3"/>
        <v>295.4241494</v>
      </c>
      <c r="D18" s="21">
        <f t="shared" si="3"/>
        <v>603.9642431</v>
      </c>
      <c r="E18" s="19" t="s">
        <v>36</v>
      </c>
    </row>
    <row r="19">
      <c r="A19" s="35" t="s">
        <v>138</v>
      </c>
      <c r="B19" s="42">
        <f>B18*Inputs!$B$30</f>
        <v>1063.451165</v>
      </c>
      <c r="C19" s="42">
        <f>C18*Inputs!$B$30</f>
        <v>443.1362241</v>
      </c>
      <c r="D19" s="42">
        <f>D18*Inputs!$B$30</f>
        <v>905.9463646</v>
      </c>
      <c r="E19" s="19" t="s">
        <v>36</v>
      </c>
    </row>
    <row r="20">
      <c r="A20" s="35" t="s">
        <v>138</v>
      </c>
      <c r="B20" s="42">
        <f>B19/Inputs!$B$63</f>
        <v>239.0734194</v>
      </c>
      <c r="C20" s="42">
        <f>C19/Inputs!$B$63</f>
        <v>99.62102237</v>
      </c>
      <c r="D20" s="42">
        <f>D19/Inputs!$B$63</f>
        <v>203.6649187</v>
      </c>
      <c r="E20" s="19" t="s">
        <v>89</v>
      </c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28" t="s">
        <v>156</v>
      </c>
      <c r="B23" s="28" t="s">
        <v>3</v>
      </c>
      <c r="C23" s="28" t="s">
        <v>4</v>
      </c>
      <c r="D23" s="52"/>
      <c r="E23" s="52"/>
    </row>
    <row r="24" ht="15.75" customHeight="1">
      <c r="A24" s="19" t="s">
        <v>162</v>
      </c>
      <c r="B24" s="23">
        <f>Inputs!$B$28*$B$4*Inputs!$B$21/1000</f>
        <v>336.8886106</v>
      </c>
      <c r="C24" s="19" t="s">
        <v>66</v>
      </c>
      <c r="D24" s="8"/>
      <c r="E24" s="8"/>
    </row>
    <row r="25" ht="15.75" customHeight="1">
      <c r="A25" s="19" t="s">
        <v>170</v>
      </c>
      <c r="B25" s="23">
        <f>C13+C14</f>
        <v>35.06059475</v>
      </c>
      <c r="C25" s="19" t="s">
        <v>66</v>
      </c>
      <c r="D25" s="8"/>
      <c r="E25" s="8"/>
    </row>
    <row r="26" ht="15.75" customHeight="1">
      <c r="A26" s="35" t="s">
        <v>177</v>
      </c>
      <c r="B26" s="38">
        <f>B24+B25</f>
        <v>371.9492054</v>
      </c>
      <c r="C26" s="19" t="s">
        <v>66</v>
      </c>
      <c r="D26" s="8"/>
      <c r="E26" s="8"/>
    </row>
    <row r="27" ht="15.75" customHeight="1">
      <c r="A27" s="19" t="s">
        <v>181</v>
      </c>
      <c r="B27" s="40">
        <f>C17</f>
        <v>0.1766625506</v>
      </c>
      <c r="C27" s="19" t="s">
        <v>129</v>
      </c>
      <c r="D27" s="8"/>
      <c r="E27" s="8"/>
    </row>
    <row r="28" ht="15.75" customHeight="1">
      <c r="A28" s="19" t="s">
        <v>190</v>
      </c>
      <c r="B28" s="21">
        <f>B26/B27</f>
        <v>2105.421914</v>
      </c>
      <c r="C28" s="19" t="s">
        <v>36</v>
      </c>
      <c r="D28" s="8"/>
      <c r="E28" s="8"/>
    </row>
    <row r="29" ht="15.75" customHeight="1">
      <c r="A29" s="35" t="s">
        <v>196</v>
      </c>
      <c r="B29" s="42">
        <f>B28*Inputs!$B$30</f>
        <v>3158.132871</v>
      </c>
      <c r="C29" s="19" t="s">
        <v>36</v>
      </c>
      <c r="D29" s="8"/>
      <c r="E29" s="8"/>
    </row>
    <row r="30" ht="15.75" customHeight="1">
      <c r="A30" s="35" t="s">
        <v>196</v>
      </c>
      <c r="B30" s="42">
        <f>B29/Inputs!$B$63</f>
        <v>709.9767707</v>
      </c>
      <c r="C30" s="19" t="s">
        <v>89</v>
      </c>
      <c r="D30" s="8"/>
      <c r="E30" s="8"/>
    </row>
    <row r="31" ht="15.75" customHeight="1">
      <c r="A31" s="62" t="s">
        <v>202</v>
      </c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17" t="s">
        <v>203</v>
      </c>
      <c r="B33" s="18"/>
      <c r="C33" s="18"/>
      <c r="D33" s="18"/>
      <c r="E33" s="18"/>
    </row>
    <row r="34" ht="15.75" customHeight="1">
      <c r="A34" s="35" t="s">
        <v>204</v>
      </c>
      <c r="B34" s="64">
        <f>MAX(B19:D19)</f>
        <v>1063.451165</v>
      </c>
      <c r="C34" s="19" t="s">
        <v>36</v>
      </c>
      <c r="D34" s="64">
        <f>MAX(B20:D20)</f>
        <v>239.0734194</v>
      </c>
      <c r="E34" s="19" t="s">
        <v>89</v>
      </c>
    </row>
    <row r="35" ht="15.75" customHeight="1">
      <c r="A35" s="35" t="s">
        <v>196</v>
      </c>
      <c r="B35" s="64">
        <f>B29</f>
        <v>3158.132871</v>
      </c>
      <c r="C35" s="19" t="s">
        <v>36</v>
      </c>
      <c r="D35" s="64">
        <f>B30</f>
        <v>709.9767707</v>
      </c>
      <c r="E35" s="19" t="s">
        <v>89</v>
      </c>
    </row>
    <row r="36" ht="15.75" customHeight="1">
      <c r="A36" s="35" t="s">
        <v>207</v>
      </c>
      <c r="B36" s="65">
        <f>Geometry!B21</f>
        <v>66.31271984</v>
      </c>
      <c r="C36" s="19" t="s">
        <v>208</v>
      </c>
      <c r="D36" s="8"/>
      <c r="E36" s="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685B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0"/>
  <cols>
    <col customWidth="1" min="1" max="1" width="51.5"/>
    <col customWidth="1" min="2" max="3" width="17.88"/>
    <col customWidth="1" min="4" max="4" width="15.75"/>
    <col customWidth="1" min="5" max="9" width="13.38"/>
    <col customWidth="1" min="10" max="10" width="11.25"/>
    <col customWidth="1" min="11" max="15" width="13.38"/>
    <col customWidth="1" min="16" max="16" width="11.25"/>
    <col customWidth="1" min="17" max="28" width="8.63"/>
  </cols>
  <sheetData>
    <row r="1">
      <c r="A1" s="12" t="s">
        <v>24</v>
      </c>
    </row>
    <row r="2">
      <c r="A2" s="2" t="s">
        <v>25</v>
      </c>
    </row>
    <row r="3">
      <c r="X3" s="4" t="s">
        <v>26</v>
      </c>
    </row>
    <row r="4">
      <c r="A4" s="3" t="s">
        <v>27</v>
      </c>
      <c r="B4" s="3" t="s">
        <v>3</v>
      </c>
      <c r="C4" s="3" t="s">
        <v>4</v>
      </c>
      <c r="X4" s="15" t="s">
        <v>29</v>
      </c>
      <c r="Y4" s="15" t="s">
        <v>30</v>
      </c>
      <c r="Z4" s="15" t="s">
        <v>14</v>
      </c>
      <c r="AA4" s="15" t="s">
        <v>31</v>
      </c>
      <c r="AB4" s="15" t="s">
        <v>32</v>
      </c>
    </row>
    <row r="5">
      <c r="A5" s="9" t="s">
        <v>33</v>
      </c>
      <c r="B5" s="9" t="str">
        <f>Inputs!$B$32</f>
        <v>IMA33-RN04 (1-stack)</v>
      </c>
      <c r="C5" s="9"/>
      <c r="X5" s="15">
        <v>-15.0</v>
      </c>
      <c r="Y5" s="22">
        <f t="shared" ref="Y5:Y65" si="1">IF(X5&lt;0,INDEX($N$43:$N$163,MATCH(-X5,$A$43:$A$163,0)),INDEX($H$43:$H$163,MATCH(X5,$A$43:$A$163,0)))</f>
        <v>291.8</v>
      </c>
      <c r="Z5" s="22">
        <f>Inputs!$B$38</f>
        <v>350</v>
      </c>
      <c r="AA5" s="22">
        <f t="shared" ref="AA5:AA65" si="2">IF(X5&lt;0,INDEX($O$43:$O$163,MATCH(-X5,$A$43:$A$163,0)),INDEX($I$43:$I$163,MATCH(X5,$A$43:$A$163,0)))</f>
        <v>5.845957768</v>
      </c>
      <c r="AB5" s="15">
        <v>0.0</v>
      </c>
    </row>
    <row r="6">
      <c r="A6" s="9" t="s">
        <v>49</v>
      </c>
      <c r="B6" s="25">
        <f t="array" ref="B6">INDEX(Actuators!$W$2:$W$20,MATCH(Inputs!$B$32,Actuators!$A$2:$A$20,0))</f>
        <v>216.7</v>
      </c>
      <c r="C6" s="9" t="s">
        <v>18</v>
      </c>
      <c r="X6" s="15">
        <v>-14.5</v>
      </c>
      <c r="Y6" s="22">
        <f t="shared" si="1"/>
        <v>291.8</v>
      </c>
      <c r="Z6" s="22">
        <f>Inputs!$B$38</f>
        <v>350</v>
      </c>
      <c r="AA6" s="22">
        <f t="shared" si="2"/>
        <v>6.507698256</v>
      </c>
      <c r="AB6" s="15">
        <v>0.0</v>
      </c>
    </row>
    <row r="7">
      <c r="A7" s="9" t="s">
        <v>56</v>
      </c>
      <c r="B7" s="25">
        <f t="array" ref="B7">INDEX(Actuators!$J$2:$J$20,MATCH(Inputs!$B$32,Actuators!$A$2:$A$20,0))</f>
        <v>83.6</v>
      </c>
      <c r="C7" s="9" t="s">
        <v>18</v>
      </c>
      <c r="X7" s="15">
        <v>-14.0</v>
      </c>
      <c r="Y7" s="22">
        <f t="shared" si="1"/>
        <v>291.8</v>
      </c>
      <c r="Z7" s="22">
        <f>Inputs!$B$38</f>
        <v>350</v>
      </c>
      <c r="AA7" s="22">
        <f t="shared" si="2"/>
        <v>7.168776361</v>
      </c>
      <c r="AB7" s="15">
        <v>0.0</v>
      </c>
    </row>
    <row r="8">
      <c r="A8" s="9" t="s">
        <v>64</v>
      </c>
      <c r="B8" s="25">
        <f t="array" ref="B8">INDEX(Actuators!$M$2:$M$20,MATCH(Inputs!$B$32,Actuators!$A$2:$A$20,0))</f>
        <v>30.13</v>
      </c>
      <c r="C8" s="9" t="s">
        <v>18</v>
      </c>
      <c r="X8" s="15">
        <v>-13.5</v>
      </c>
      <c r="Y8" s="22">
        <f t="shared" si="1"/>
        <v>291.8</v>
      </c>
      <c r="Z8" s="22">
        <f>Inputs!$B$38</f>
        <v>350</v>
      </c>
      <c r="AA8" s="22">
        <f t="shared" si="2"/>
        <v>7.829181602</v>
      </c>
      <c r="AB8" s="15">
        <v>0.0</v>
      </c>
    </row>
    <row r="9">
      <c r="A9" s="9" t="s">
        <v>69</v>
      </c>
      <c r="B9" s="9" t="str">
        <f t="array" ref="B9">INDEX(Actuators!$U$2:$U$20,MATCH(Inputs!$B$32,Actuators!$A$2:$A$20,0))&amp;" – "&amp;INDEX(Actuators!$V$2:$V$20,MATCH(Inputs!$B$32,Actuators!$A$2:$A$20,0))</f>
        <v>76.2 – 457.2</v>
      </c>
      <c r="C9" s="9" t="s">
        <v>18</v>
      </c>
      <c r="X9" s="15">
        <v>-13.0</v>
      </c>
      <c r="Y9" s="22">
        <f t="shared" si="1"/>
        <v>291.8</v>
      </c>
      <c r="Z9" s="22">
        <f>Inputs!$B$38</f>
        <v>350</v>
      </c>
      <c r="AA9" s="22">
        <f t="shared" si="2"/>
        <v>8.488903541</v>
      </c>
      <c r="AB9" s="15">
        <v>0.0</v>
      </c>
    </row>
    <row r="10">
      <c r="A10" s="9" t="s">
        <v>73</v>
      </c>
      <c r="B10" s="25">
        <f>Geometry!C8</f>
        <v>337.2842733</v>
      </c>
      <c r="C10" s="9" t="s">
        <v>18</v>
      </c>
      <c r="X10" s="15">
        <v>-12.5</v>
      </c>
      <c r="Y10" s="22">
        <f t="shared" si="1"/>
        <v>291.8</v>
      </c>
      <c r="Z10" s="22">
        <f>Inputs!$B$38</f>
        <v>350</v>
      </c>
      <c r="AA10" s="22">
        <f t="shared" si="2"/>
        <v>9.147931785</v>
      </c>
      <c r="AB10" s="15">
        <v>0.0</v>
      </c>
    </row>
    <row r="11">
      <c r="A11" s="9" t="s">
        <v>78</v>
      </c>
      <c r="B11" s="25">
        <f t="array" ref="B11">IF(Inputs!$B$33&gt;0,Inputs!$B$33,MIN(INDEX(Actuators!$V$2:$V$20,MATCH(Inputs!$B$32,Actuators!$A$2:$A$20,0)),MAX(INDEX(Actuators!$U$2:$U$20,MATCH(Inputs!$B$32,Actuators!$A$2:$A$20,0)),(B10-B6-Inputs!$B$35)/1.5)))</f>
        <v>80.38951554</v>
      </c>
      <c r="C11" s="9" t="s">
        <v>18</v>
      </c>
      <c r="X11" s="15">
        <v>-12.0</v>
      </c>
      <c r="Y11" s="22">
        <f t="shared" si="1"/>
        <v>291.8</v>
      </c>
      <c r="Z11" s="22">
        <f>Inputs!$B$38</f>
        <v>350</v>
      </c>
      <c r="AA11" s="22">
        <f t="shared" si="2"/>
        <v>9.80625598</v>
      </c>
      <c r="AB11" s="15">
        <v>0.0</v>
      </c>
    </row>
    <row r="12">
      <c r="A12" s="9" t="s">
        <v>97</v>
      </c>
      <c r="B12" s="25">
        <f>B6+Inputs!$B$35+B11</f>
        <v>297.0895155</v>
      </c>
      <c r="C12" s="9" t="s">
        <v>18</v>
      </c>
      <c r="X12" s="15">
        <v>-11.5</v>
      </c>
      <c r="Y12" s="22">
        <f t="shared" si="1"/>
        <v>291.8</v>
      </c>
      <c r="Z12" s="22">
        <f>Inputs!$B$38</f>
        <v>350</v>
      </c>
      <c r="AA12" s="22">
        <f t="shared" si="2"/>
        <v>10.46386582</v>
      </c>
      <c r="AB12" s="15">
        <v>0.0</v>
      </c>
    </row>
    <row r="13">
      <c r="A13" s="9" t="s">
        <v>113</v>
      </c>
      <c r="B13" s="25">
        <f>B6+Inputs!$B$35+2*B11</f>
        <v>377.4790311</v>
      </c>
      <c r="C13" s="9" t="s">
        <v>18</v>
      </c>
      <c r="X13" s="15">
        <v>-11.0</v>
      </c>
      <c r="Y13" s="22">
        <f t="shared" si="1"/>
        <v>291.8</v>
      </c>
      <c r="Z13" s="22">
        <f>Inputs!$B$38</f>
        <v>350</v>
      </c>
      <c r="AA13" s="22">
        <f t="shared" si="2"/>
        <v>11.12075103</v>
      </c>
      <c r="AB13" s="15">
        <v>0.0</v>
      </c>
    </row>
    <row r="14">
      <c r="A14" s="9" t="s">
        <v>125</v>
      </c>
      <c r="B14" s="25">
        <f>B12+Inputs!$B$34</f>
        <v>302.0895155</v>
      </c>
      <c r="C14" s="9" t="s">
        <v>18</v>
      </c>
      <c r="X14" s="15">
        <v>-10.5</v>
      </c>
      <c r="Y14" s="22">
        <f t="shared" si="1"/>
        <v>291.8</v>
      </c>
      <c r="Z14" s="22">
        <f>Inputs!$B$38</f>
        <v>350</v>
      </c>
      <c r="AA14" s="22">
        <f t="shared" si="2"/>
        <v>11.7769014</v>
      </c>
      <c r="AB14" s="15">
        <v>0.0</v>
      </c>
    </row>
    <row r="15">
      <c r="A15" s="9" t="s">
        <v>142</v>
      </c>
      <c r="B15" s="25">
        <f>B13-Inputs!$B$34</f>
        <v>372.4790311</v>
      </c>
      <c r="C15" s="9" t="s">
        <v>18</v>
      </c>
      <c r="X15" s="15">
        <v>-10.0</v>
      </c>
      <c r="Y15" s="22">
        <f t="shared" si="1"/>
        <v>291.8</v>
      </c>
      <c r="Z15" s="22">
        <f>Inputs!$B$38</f>
        <v>350</v>
      </c>
      <c r="AA15" s="22">
        <f t="shared" si="2"/>
        <v>12.43230675</v>
      </c>
      <c r="AB15" s="15">
        <v>0.0</v>
      </c>
    </row>
    <row r="16">
      <c r="A16" s="9" t="s">
        <v>150</v>
      </c>
      <c r="B16" s="25">
        <f>B12-Inputs!$B$36</f>
        <v>257.0895155</v>
      </c>
      <c r="C16" s="9" t="s">
        <v>18</v>
      </c>
      <c r="X16" s="15">
        <v>-9.5</v>
      </c>
      <c r="Y16" s="22">
        <f t="shared" si="1"/>
        <v>291.8</v>
      </c>
      <c r="Z16" s="22">
        <f>Inputs!$B$38</f>
        <v>350</v>
      </c>
      <c r="AA16" s="22">
        <f t="shared" si="2"/>
        <v>13.08695695</v>
      </c>
      <c r="AB16" s="15">
        <v>0.0</v>
      </c>
    </row>
    <row r="17">
      <c r="X17" s="15">
        <v>-9.0</v>
      </c>
      <c r="Y17" s="22">
        <f t="shared" si="1"/>
        <v>291.8</v>
      </c>
      <c r="Z17" s="22">
        <f>Inputs!$B$38</f>
        <v>350</v>
      </c>
      <c r="AA17" s="22">
        <f t="shared" si="2"/>
        <v>13.74084192</v>
      </c>
      <c r="AB17" s="15">
        <v>0.0</v>
      </c>
    </row>
    <row r="18">
      <c r="A18" s="3" t="s">
        <v>172</v>
      </c>
      <c r="B18" s="3" t="s">
        <v>3</v>
      </c>
      <c r="C18" s="3" t="s">
        <v>4</v>
      </c>
      <c r="X18" s="15">
        <v>-8.5</v>
      </c>
      <c r="Y18" s="22">
        <f t="shared" si="1"/>
        <v>291.8</v>
      </c>
      <c r="Z18" s="22">
        <f>Inputs!$B$38</f>
        <v>350</v>
      </c>
      <c r="AA18" s="22">
        <f t="shared" si="2"/>
        <v>14.39395161</v>
      </c>
      <c r="AB18" s="15">
        <v>0.0</v>
      </c>
    </row>
    <row r="19">
      <c r="A19" s="60" t="s">
        <v>184</v>
      </c>
      <c r="B19" s="63">
        <f t="array" ref="B19">IF(IFERROR(MATCH(0,$J$43:$J$163,0),0)=0,30,IF(IFERROR(MATCH(0,$J$43:$J$163,0),0)=1,0,INDEX($A$43:$A$163,IFERROR(MATCH(0,$J$43:$J$163,0),0)-1)))</f>
        <v>10.75</v>
      </c>
      <c r="C19" s="9" t="s">
        <v>54</v>
      </c>
      <c r="X19" s="15">
        <v>-8.0</v>
      </c>
      <c r="Y19" s="22">
        <f t="shared" si="1"/>
        <v>291.8</v>
      </c>
      <c r="Z19" s="22">
        <f>Inputs!$B$38</f>
        <v>350</v>
      </c>
      <c r="AA19" s="22">
        <f t="shared" si="2"/>
        <v>15.04627603</v>
      </c>
      <c r="AB19" s="15">
        <v>0.0</v>
      </c>
    </row>
    <row r="20">
      <c r="A20" s="9" t="s">
        <v>206</v>
      </c>
      <c r="B20" s="66" t="str">
        <f t="array" ref="B20">IF(IFERROR(MATCH(0,$J$43:$J$163,0),0)=0,"none within 30°",IF(INDEX($G$43:$G$163,IFERROR(MATCH(0,$J$43:$J$163,0),0))&lt;$B$14,"actuator fully retracted",IF(INDEX($G$43:$G$163,IFERROR(MATCH(0,$J$43:$J$163,0),0))&gt;$B$15,"actuator fully extended",IF(INDEX($H$43:$H$163,IFERROR(MATCH(0,$J$43:$J$163,0),0))&gt;Inputs!$B$38,"actuator past 6 in",IF(INDEX($I$43:$I$163,IFERROR(MATCH(0,$J$43:$J$163,0),0))&lt;0,"actuator hits chamber","chamber/nozzle past 6 in")))))</f>
        <v>actuator fully retracted</v>
      </c>
      <c r="C20" s="67"/>
      <c r="D20" s="68"/>
      <c r="X20" s="15">
        <v>-7.5</v>
      </c>
      <c r="Y20" s="22">
        <f t="shared" si="1"/>
        <v>291.8</v>
      </c>
      <c r="Z20" s="22">
        <f>Inputs!$B$38</f>
        <v>350</v>
      </c>
      <c r="AA20" s="22">
        <f t="shared" si="2"/>
        <v>15.69780523</v>
      </c>
      <c r="AB20" s="15">
        <v>0.0</v>
      </c>
    </row>
    <row r="21" ht="15.75" customHeight="1">
      <c r="A21" s="60" t="s">
        <v>209</v>
      </c>
      <c r="B21" s="63">
        <f t="array" ref="B21">IF(IFERROR(MATCH(0,$P$43:$P$163,0),0)=0,30,IF(IFERROR(MATCH(0,$P$43:$P$163,0),0)=1,0,INDEX($A$43:$A$163,IFERROR(MATCH(0,$P$43:$P$163,0),0)-1)))</f>
        <v>12</v>
      </c>
      <c r="C21" s="9" t="s">
        <v>54</v>
      </c>
      <c r="X21" s="15">
        <v>-7.0</v>
      </c>
      <c r="Y21" s="22">
        <f t="shared" si="1"/>
        <v>291.8</v>
      </c>
      <c r="Z21" s="22">
        <f>Inputs!$B$38</f>
        <v>350</v>
      </c>
      <c r="AA21" s="22">
        <f t="shared" si="2"/>
        <v>16.34852933</v>
      </c>
      <c r="AB21" s="15">
        <v>0.0</v>
      </c>
    </row>
    <row r="22" ht="15.75" customHeight="1">
      <c r="A22" s="9" t="s">
        <v>206</v>
      </c>
      <c r="B22" s="66" t="str">
        <f t="array" ref="B22">IF(IFERROR(MATCH(0,$P$43:$P$163,0),0)=0,"none within 30°",IF(INDEX($M$43:$M$163,IFERROR(MATCH(0,$P$43:$P$163,0),0))&lt;$B$14,"actuator fully retracted",IF(INDEX($M$43:$M$163,IFERROR(MATCH(0,$P$43:$P$163,0),0))&gt;$B$15,"actuator fully extended",IF(INDEX($N$43:$N$163,IFERROR(MATCH(0,$P$43:$P$163,0),0))&gt;Inputs!$B$38,"actuator past 6 in",IF(INDEX($O$43:$O$163,IFERROR(MATCH(0,$P$43:$P$163,0),0))&lt;0,"actuator hits chamber","chamber/nozzle past 6 in")))))</f>
        <v>actuator fully extended</v>
      </c>
      <c r="C22" s="67"/>
      <c r="D22" s="68"/>
      <c r="X22" s="15">
        <v>-6.5</v>
      </c>
      <c r="Y22" s="22">
        <f t="shared" si="1"/>
        <v>291.8</v>
      </c>
      <c r="Z22" s="22">
        <f>Inputs!$B$38</f>
        <v>350</v>
      </c>
      <c r="AA22" s="22">
        <f t="shared" si="2"/>
        <v>16.99843846</v>
      </c>
      <c r="AB22" s="15">
        <v>0.0</v>
      </c>
    </row>
    <row r="23" ht="15.75" customHeight="1">
      <c r="A23" s="60" t="s">
        <v>211</v>
      </c>
      <c r="B23" s="63">
        <f>MIN(B19,B21)</f>
        <v>10.75</v>
      </c>
      <c r="C23" s="9" t="s">
        <v>54</v>
      </c>
      <c r="X23" s="15">
        <v>-6.0</v>
      </c>
      <c r="Y23" s="22">
        <f t="shared" si="1"/>
        <v>291.8</v>
      </c>
      <c r="Z23" s="22">
        <f>Inputs!$B$38</f>
        <v>350</v>
      </c>
      <c r="AA23" s="22">
        <f t="shared" si="2"/>
        <v>17.64752283</v>
      </c>
      <c r="AB23" s="15">
        <v>0.0</v>
      </c>
    </row>
    <row r="24" ht="15.75" customHeight="1">
      <c r="X24" s="15">
        <v>-5.5</v>
      </c>
      <c r="Y24" s="22">
        <f t="shared" si="1"/>
        <v>291.8</v>
      </c>
      <c r="Z24" s="22">
        <f>Inputs!$B$38</f>
        <v>350</v>
      </c>
      <c r="AA24" s="22">
        <f t="shared" si="2"/>
        <v>18.29577269</v>
      </c>
      <c r="AB24" s="15">
        <v>0.0</v>
      </c>
    </row>
    <row r="25" ht="15.75" customHeight="1">
      <c r="A25" s="3" t="s">
        <v>213</v>
      </c>
      <c r="B25" s="3" t="s">
        <v>214</v>
      </c>
      <c r="C25" s="3" t="s">
        <v>215</v>
      </c>
      <c r="D25" s="3" t="s">
        <v>216</v>
      </c>
      <c r="X25" s="15">
        <v>-5.0</v>
      </c>
      <c r="Y25" s="22">
        <f t="shared" si="1"/>
        <v>291.8</v>
      </c>
      <c r="Z25" s="22">
        <f>Inputs!$B$38</f>
        <v>350</v>
      </c>
      <c r="AA25" s="22">
        <f t="shared" si="2"/>
        <v>18.94317832</v>
      </c>
      <c r="AB25" s="15">
        <v>0.0</v>
      </c>
    </row>
    <row r="26" ht="15.75" customHeight="1">
      <c r="A26" s="9" t="s">
        <v>218</v>
      </c>
      <c r="B26" s="25">
        <f>B10</f>
        <v>337.2842733</v>
      </c>
      <c r="C26" s="25" t="str">
        <f>TEXT(B14,"0.0")&amp;" – "&amp;TEXT(B15,"0.0")</f>
        <v>302.1 – 372.5</v>
      </c>
      <c r="D26" s="69" t="str">
        <f>IF(AND(B26&gt;=B14,B26&lt;=B15),"OK","FAIL")</f>
        <v>OK</v>
      </c>
      <c r="X26" s="15">
        <v>-4.5</v>
      </c>
      <c r="Y26" s="22">
        <f t="shared" si="1"/>
        <v>291.8</v>
      </c>
      <c r="Z26" s="22">
        <f>Inputs!$B$38</f>
        <v>350</v>
      </c>
      <c r="AA26" s="22">
        <f t="shared" si="2"/>
        <v>19.58973007</v>
      </c>
      <c r="AB26" s="15">
        <v>0.0</v>
      </c>
    </row>
    <row r="27" ht="15.75" customHeight="1">
      <c r="A27" s="9" t="s">
        <v>219</v>
      </c>
      <c r="B27" s="39">
        <f>B23</f>
        <v>10.75</v>
      </c>
      <c r="C27" s="39">
        <f>Inputs!$B$13</f>
        <v>10</v>
      </c>
      <c r="D27" s="69" t="str">
        <f t="shared" ref="D27:D30" si="3">IF(B27&gt;=C27,"OK","FAIL")</f>
        <v>OK</v>
      </c>
      <c r="X27" s="15">
        <v>-4.0</v>
      </c>
      <c r="Y27" s="22">
        <f t="shared" si="1"/>
        <v>291.8</v>
      </c>
      <c r="Z27" s="22">
        <f>Inputs!$B$38</f>
        <v>350</v>
      </c>
      <c r="AA27" s="22">
        <f t="shared" si="2"/>
        <v>20.23541834</v>
      </c>
      <c r="AB27" s="15">
        <v>0.0</v>
      </c>
    </row>
    <row r="28" ht="15.75" customHeight="1">
      <c r="A28" s="9" t="s">
        <v>222</v>
      </c>
      <c r="B28" s="70">
        <f t="array" ref="B28">INDEX(Actuators!$B$2:$B$20,MATCH(Inputs!$B$32,Actuators!$A$2:$A$20,0))*1000</f>
        <v>2000</v>
      </c>
      <c r="C28" s="70">
        <f>Loads!B34</f>
        <v>1063.451165</v>
      </c>
      <c r="D28" s="69" t="str">
        <f t="shared" si="3"/>
        <v>OK</v>
      </c>
      <c r="X28" s="15">
        <v>-3.5</v>
      </c>
      <c r="Y28" s="22">
        <f t="shared" si="1"/>
        <v>291.8</v>
      </c>
      <c r="Z28" s="22">
        <f>Inputs!$B$38</f>
        <v>350</v>
      </c>
      <c r="AA28" s="22">
        <f t="shared" si="2"/>
        <v>20.88023356</v>
      </c>
      <c r="AB28" s="15">
        <v>0.0</v>
      </c>
    </row>
    <row r="29" ht="15.75" customHeight="1">
      <c r="A29" s="9" t="s">
        <v>223</v>
      </c>
      <c r="B29" s="70">
        <f t="array" ref="B29">INDEX(Actuators!$C$2:$C$20,MATCH(Inputs!$B$32,Actuators!$A$2:$A$20,0))*1000</f>
        <v>6010</v>
      </c>
      <c r="C29" s="70">
        <f>Loads!B35</f>
        <v>3158.132871</v>
      </c>
      <c r="D29" s="69" t="str">
        <f t="shared" si="3"/>
        <v>OK</v>
      </c>
      <c r="X29" s="15">
        <v>-3.0</v>
      </c>
      <c r="Y29" s="22">
        <f t="shared" si="1"/>
        <v>291.8</v>
      </c>
      <c r="Z29" s="22">
        <f>Inputs!$B$38</f>
        <v>350</v>
      </c>
      <c r="AA29" s="22">
        <f t="shared" si="2"/>
        <v>21.52416625</v>
      </c>
      <c r="AB29" s="15">
        <v>0.0</v>
      </c>
    </row>
    <row r="30" ht="15.75" customHeight="1">
      <c r="A30" s="9" t="s">
        <v>225</v>
      </c>
      <c r="B30" s="25">
        <f t="array" ref="B30">INDEX(Actuators!$D$2:$D$20,MATCH(Inputs!$B$32,Actuators!$A$2:$A$20,0))</f>
        <v>244</v>
      </c>
      <c r="C30" s="25">
        <f>Geometry!B21</f>
        <v>66.31271984</v>
      </c>
      <c r="D30" s="69" t="str">
        <f t="shared" si="3"/>
        <v>OK</v>
      </c>
      <c r="X30" s="15">
        <v>-2.5</v>
      </c>
      <c r="Y30" s="22">
        <f t="shared" si="1"/>
        <v>291.8</v>
      </c>
      <c r="Z30" s="22">
        <f>Inputs!$B$38</f>
        <v>350</v>
      </c>
      <c r="AA30" s="22">
        <f t="shared" si="2"/>
        <v>22.16720693</v>
      </c>
      <c r="AB30" s="15">
        <v>0.0</v>
      </c>
    </row>
    <row r="31" ht="15.75" customHeight="1">
      <c r="A31" s="9" t="s">
        <v>226</v>
      </c>
      <c r="B31" s="25">
        <f>H43</f>
        <v>291.8</v>
      </c>
      <c r="C31" s="25">
        <f>Inputs!$B$38</f>
        <v>350</v>
      </c>
      <c r="D31" s="69" t="str">
        <f>IF(B31&lt;=C31,"OK","FAIL")</f>
        <v>OK</v>
      </c>
      <c r="X31" s="15">
        <v>-2.0</v>
      </c>
      <c r="Y31" s="22">
        <f t="shared" si="1"/>
        <v>291.8</v>
      </c>
      <c r="Z31" s="22">
        <f>Inputs!$B$38</f>
        <v>350</v>
      </c>
      <c r="AA31" s="22">
        <f t="shared" si="2"/>
        <v>22.80934621</v>
      </c>
      <c r="AB31" s="15">
        <v>0.0</v>
      </c>
    </row>
    <row r="32" ht="15.75" customHeight="1">
      <c r="A32" s="9" t="s">
        <v>227</v>
      </c>
      <c r="B32" s="25">
        <f>I43</f>
        <v>25.368703</v>
      </c>
      <c r="C32" s="25">
        <v>0.0</v>
      </c>
      <c r="D32" s="69" t="str">
        <f>IF(B32&gt;=C32,"OK","FAIL")</f>
        <v>OK</v>
      </c>
      <c r="X32" s="15">
        <v>-1.5</v>
      </c>
      <c r="Y32" s="22">
        <f t="shared" si="1"/>
        <v>291.8</v>
      </c>
      <c r="Z32" s="22">
        <f>Inputs!$B$38</f>
        <v>350</v>
      </c>
      <c r="AA32" s="22">
        <f t="shared" si="2"/>
        <v>23.45057473</v>
      </c>
      <c r="AB32" s="15">
        <v>0.0</v>
      </c>
    </row>
    <row r="33" ht="15.75" customHeight="1">
      <c r="A33" s="9" t="s">
        <v>230</v>
      </c>
      <c r="B33" s="25">
        <f t="array" ref="B33">INDEX($C$43:$C$163,MATCH(Inputs!$B$13,$A$43:$A$163,1))</f>
        <v>147.0295207</v>
      </c>
      <c r="C33" s="25">
        <f>Inputs!$B$38</f>
        <v>350</v>
      </c>
      <c r="D33" s="69" t="str">
        <f>IF(B33&lt;=C33,"OK","FAIL")</f>
        <v>OK</v>
      </c>
      <c r="X33" s="15">
        <v>-1.0</v>
      </c>
      <c r="Y33" s="22">
        <f t="shared" si="1"/>
        <v>291.8</v>
      </c>
      <c r="Z33" s="22">
        <f>Inputs!$B$38</f>
        <v>350</v>
      </c>
      <c r="AA33" s="22">
        <f t="shared" si="2"/>
        <v>24.0908832</v>
      </c>
      <c r="AB33" s="15">
        <v>0.0</v>
      </c>
    </row>
    <row r="34" ht="15.75" customHeight="1">
      <c r="A34" s="60" t="s">
        <v>231</v>
      </c>
      <c r="D34" s="69" t="str">
        <f>IF(COUNTIF(D26:D33,"FAIL")=0,"PASS","FAIL")</f>
        <v>PASS</v>
      </c>
      <c r="X34" s="15">
        <v>-0.5</v>
      </c>
      <c r="Y34" s="22">
        <f t="shared" si="1"/>
        <v>291.8</v>
      </c>
      <c r="Z34" s="22">
        <f>Inputs!$B$38</f>
        <v>350</v>
      </c>
      <c r="AA34" s="22">
        <f t="shared" si="2"/>
        <v>24.73026235</v>
      </c>
      <c r="AB34" s="15">
        <v>0.0</v>
      </c>
    </row>
    <row r="35" ht="15.75" customHeight="1">
      <c r="X35" s="15">
        <v>0.0</v>
      </c>
      <c r="Y35" s="22">
        <f t="shared" si="1"/>
        <v>291.8</v>
      </c>
      <c r="Z35" s="22">
        <f>Inputs!$B$38</f>
        <v>350</v>
      </c>
      <c r="AA35" s="22">
        <f t="shared" si="2"/>
        <v>25.368703</v>
      </c>
      <c r="AB35" s="15">
        <v>0.0</v>
      </c>
    </row>
    <row r="36" ht="15.75" customHeight="1">
      <c r="A36" s="2" t="s">
        <v>234</v>
      </c>
      <c r="X36" s="15">
        <v>0.5</v>
      </c>
      <c r="Y36" s="22">
        <f t="shared" si="1"/>
        <v>291.8</v>
      </c>
      <c r="Z36" s="22">
        <f>Inputs!$B$38</f>
        <v>350</v>
      </c>
      <c r="AA36" s="22">
        <f t="shared" si="2"/>
        <v>26.00619599</v>
      </c>
      <c r="AB36" s="15">
        <v>0.0</v>
      </c>
    </row>
    <row r="37" ht="15.75" customHeight="1">
      <c r="A37" s="2" t="s">
        <v>235</v>
      </c>
      <c r="X37" s="15">
        <v>1.0</v>
      </c>
      <c r="Y37" s="22">
        <f t="shared" si="1"/>
        <v>291.8</v>
      </c>
      <c r="Z37" s="22">
        <f>Inputs!$B$38</f>
        <v>350</v>
      </c>
      <c r="AA37" s="22">
        <f t="shared" si="2"/>
        <v>26.64273222</v>
      </c>
      <c r="AB37" s="15">
        <v>0.0</v>
      </c>
    </row>
    <row r="38" ht="15.75" customHeight="1">
      <c r="A38" s="2" t="s">
        <v>236</v>
      </c>
      <c r="X38" s="15">
        <v>1.5</v>
      </c>
      <c r="Y38" s="22">
        <f t="shared" si="1"/>
        <v>291.8</v>
      </c>
      <c r="Z38" s="22">
        <f>Inputs!$B$38</f>
        <v>350</v>
      </c>
      <c r="AA38" s="22">
        <f t="shared" si="2"/>
        <v>27.27830267</v>
      </c>
      <c r="AB38" s="15">
        <v>0.0</v>
      </c>
    </row>
    <row r="39" ht="15.75" customHeight="1">
      <c r="X39" s="15">
        <v>2.0</v>
      </c>
      <c r="Y39" s="22">
        <f t="shared" si="1"/>
        <v>291.8</v>
      </c>
      <c r="Z39" s="22">
        <f>Inputs!$B$38</f>
        <v>350</v>
      </c>
      <c r="AA39" s="22">
        <f t="shared" si="2"/>
        <v>27.91289832</v>
      </c>
      <c r="AB39" s="15">
        <v>0.0</v>
      </c>
    </row>
    <row r="40" ht="15.75" customHeight="1">
      <c r="X40" s="15">
        <v>2.5</v>
      </c>
      <c r="Y40" s="22">
        <f t="shared" si="1"/>
        <v>291.8</v>
      </c>
      <c r="Z40" s="22">
        <f>Inputs!$B$38</f>
        <v>350</v>
      </c>
      <c r="AA40" s="22">
        <f t="shared" si="2"/>
        <v>28.54651025</v>
      </c>
      <c r="AB40" s="15">
        <v>0.0</v>
      </c>
    </row>
    <row r="41" ht="15.75" customHeight="1">
      <c r="A41" s="17" t="s">
        <v>237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X41" s="15">
        <v>3.0</v>
      </c>
      <c r="Y41" s="22">
        <f t="shared" si="1"/>
        <v>291.8</v>
      </c>
      <c r="Z41" s="22">
        <f>Inputs!$B$38</f>
        <v>350</v>
      </c>
      <c r="AA41" s="22">
        <f t="shared" si="2"/>
        <v>29.17912956</v>
      </c>
      <c r="AB41" s="15">
        <v>0.0</v>
      </c>
    </row>
    <row r="42" ht="45.0" customHeight="1">
      <c r="A42" s="28" t="s">
        <v>240</v>
      </c>
      <c r="B42" s="28" t="s">
        <v>241</v>
      </c>
      <c r="C42" s="28" t="s">
        <v>242</v>
      </c>
      <c r="D42" s="28" t="s">
        <v>243</v>
      </c>
      <c r="E42" s="28" t="s">
        <v>244</v>
      </c>
      <c r="F42" s="28" t="s">
        <v>245</v>
      </c>
      <c r="G42" s="28" t="s">
        <v>246</v>
      </c>
      <c r="H42" s="28" t="s">
        <v>247</v>
      </c>
      <c r="I42" s="28" t="s">
        <v>248</v>
      </c>
      <c r="J42" s="28" t="s">
        <v>249</v>
      </c>
      <c r="K42" s="28" t="s">
        <v>250</v>
      </c>
      <c r="L42" s="28" t="s">
        <v>251</v>
      </c>
      <c r="M42" s="28" t="s">
        <v>252</v>
      </c>
      <c r="N42" s="28" t="s">
        <v>253</v>
      </c>
      <c r="O42" s="28" t="s">
        <v>254</v>
      </c>
      <c r="P42" s="28" t="s">
        <v>255</v>
      </c>
      <c r="X42" s="15">
        <v>3.5</v>
      </c>
      <c r="Y42" s="22">
        <f t="shared" si="1"/>
        <v>291.8</v>
      </c>
      <c r="Z42" s="22">
        <f>Inputs!$B$38</f>
        <v>350</v>
      </c>
      <c r="AA42" s="22">
        <f t="shared" si="2"/>
        <v>29.81074742</v>
      </c>
      <c r="AB42" s="15">
        <v>0.0</v>
      </c>
    </row>
    <row r="43" ht="15.75" customHeight="1">
      <c r="A43" s="23">
        <v>0.0</v>
      </c>
      <c r="B43" s="40">
        <f t="shared" ref="B43:B163" si="4">RADIANS(A43)</f>
        <v>0</v>
      </c>
      <c r="C43" s="29">
        <f>MAX(Inputs!$C$68*COS($B43)+Inputs!$B$68*ABS(SIN($B43)),Inputs!$C$69*COS($B43)+Inputs!$B$69*ABS(SIN($B43)),Inputs!$C$70*COS($B43)+Inputs!$B$70*ABS(SIN($B43)),Inputs!$C$71*COS($B43)+Inputs!$B$71*ABS(SIN($B43)),Inputs!$C$72*COS($B43)+Inputs!$B$72*ABS(SIN($B43)))</f>
        <v>88.9</v>
      </c>
      <c r="D43" s="71">
        <f>IF(C43&lt;=Inputs!$B$38,1,0)</f>
        <v>1</v>
      </c>
      <c r="E43" s="29">
        <f>Inputs!$B$11*COS(($B43))-Inputs!$B$7*SIN(($B43))</f>
        <v>95.855</v>
      </c>
      <c r="F43" s="29">
        <f>Inputs!$B$11*SIN(($B43))+Inputs!$B$7*COS(($B43))</f>
        <v>-200</v>
      </c>
      <c r="G43" s="29">
        <f>SQRT((E43-Inputs!$B$5)^2+(F43-Inputs!$B$6)^2)</f>
        <v>337.2842733</v>
      </c>
      <c r="H43" s="29">
        <f>MAX(MAX(Inputs!$B$5,(Inputs!$B$5+(E43-Inputs!$B$5)*MIN(1,$B$16/G43)))+$B$7/2,MAX((Inputs!$B$5+(E43-Inputs!$B$5)*MIN(1,$B$16/G43)),E43)+Inputs!$B$41)</f>
        <v>291.8</v>
      </c>
      <c r="I43" s="29">
        <f>MIN(IF(OR(Inputs!$C$68=0,((((Inputs!$C$68*COS(($B43))+Inputs!$B$68*SIN(($B43)))-Inputs!$B$5)*(E43-Inputs!$B$5)+((Inputs!$C$68*SIN(($B43))-Inputs!$B$68*COS(($B43)))-Inputs!$B$6)*(F43-Inputs!$B$6))/G43)&lt;0,((((Inputs!$C$68*COS(($B43))+Inputs!$B$68*SIN(($B43)))-Inputs!$B$5)*(E43-Inputs!$B$5)+((Inputs!$C$68*SIN(($B43))-Inputs!$B$68*COS(($B43)))-Inputs!$B$6)*(F43-Inputs!$B$6))/G43)&gt;G43-Inputs!$B$40),999,(ABS((E43-Inputs!$B$5)*((Inputs!$C$68*SIN(($B43))-Inputs!$B$68*COS(($B43)))-Inputs!$B$6)-(F43-Inputs!$B$6)*((Inputs!$C$68*COS(($B43))+Inputs!$B$68*SIN(($B43)))-Inputs!$B$5))/G43)-IF(((((Inputs!$C$68*COS(($B43))+Inputs!$B$68*SIN(($B43)))-Inputs!$B$5)*(E43-Inputs!$B$5)+((Inputs!$C$68*SIN(($B43))-Inputs!$B$68*COS(($B43)))-Inputs!$B$6)*(F43-Inputs!$B$6))/G43)&lt;$B$16,$B$7/2,$B$8/2)-Inputs!$B$39),IF(OR(Inputs!$C$69=0,((((Inputs!$C$69*COS(($B43))+Inputs!$B$69*SIN(($B43)))-Inputs!$B$5)*(E43-Inputs!$B$5)+((Inputs!$C$69*SIN(($B43))-Inputs!$B$69*COS(($B43)))-Inputs!$B$6)*(F43-Inputs!$B$6))/G43)&lt;0,((((Inputs!$C$69*COS(($B43))+Inputs!$B$69*SIN(($B43)))-Inputs!$B$5)*(E43-Inputs!$B$5)+((Inputs!$C$69*SIN(($B43))-Inputs!$B$69*COS(($B43)))-Inputs!$B$6)*(F43-Inputs!$B$6))/G43)&gt;G43-Inputs!$B$40),999,(ABS((E43-Inputs!$B$5)*((Inputs!$C$69*SIN(($B43))-Inputs!$B$69*COS(($B43)))-Inputs!$B$6)-(F43-Inputs!$B$6)*((Inputs!$C$69*COS(($B43))+Inputs!$B$69*SIN(($B43)))-Inputs!$B$5))/G43)-IF(((((Inputs!$C$69*COS(($B43))+Inputs!$B$69*SIN(($B43)))-Inputs!$B$5)*(E43-Inputs!$B$5)+((Inputs!$C$69*SIN(($B43))-Inputs!$B$69*COS(($B43)))-Inputs!$B$6)*(F43-Inputs!$B$6))/G43)&lt;$B$16,$B$7/2,$B$8/2)-Inputs!$B$39),IF(OR(Inputs!$C$70=0,((((Inputs!$C$70*COS(($B43))+Inputs!$B$70*SIN(($B43)))-Inputs!$B$5)*(E43-Inputs!$B$5)+((Inputs!$C$70*SIN(($B43))-Inputs!$B$70*COS(($B43)))-Inputs!$B$6)*(F43-Inputs!$B$6))/G43)&lt;0,((((Inputs!$C$70*COS(($B43))+Inputs!$B$70*SIN(($B43)))-Inputs!$B$5)*(E43-Inputs!$B$5)+((Inputs!$C$70*SIN(($B43))-Inputs!$B$70*COS(($B43)))-Inputs!$B$6)*(F43-Inputs!$B$6))/G43)&gt;G43-Inputs!$B$40),999,(ABS((E43-Inputs!$B$5)*((Inputs!$C$70*SIN(($B43))-Inputs!$B$70*COS(($B43)))-Inputs!$B$6)-(F43-Inputs!$B$6)*((Inputs!$C$70*COS(($B43))+Inputs!$B$70*SIN(($B43)))-Inputs!$B$5))/G43)-IF(((((Inputs!$C$70*COS(($B43))+Inputs!$B$70*SIN(($B43)))-Inputs!$B$5)*(E43-Inputs!$B$5)+((Inputs!$C$70*SIN(($B43))-Inputs!$B$70*COS(($B43)))-Inputs!$B$6)*(F43-Inputs!$B$6))/G43)&lt;$B$16,$B$7/2,$B$8/2)-Inputs!$B$39),IF(OR(Inputs!$C$71=0,((((Inputs!$C$71*COS(($B43))+Inputs!$B$71*SIN(($B43)))-Inputs!$B$5)*(E43-Inputs!$B$5)+((Inputs!$C$71*SIN(($B43))-Inputs!$B$71*COS(($B43)))-Inputs!$B$6)*(F43-Inputs!$B$6))/G43)&lt;0,((((Inputs!$C$71*COS(($B43))+Inputs!$B$71*SIN(($B43)))-Inputs!$B$5)*(E43-Inputs!$B$5)+((Inputs!$C$71*SIN(($B43))-Inputs!$B$71*COS(($B43)))-Inputs!$B$6)*(F43-Inputs!$B$6))/G43)&gt;G43-Inputs!$B$40),999,(ABS((E43-Inputs!$B$5)*((Inputs!$C$71*SIN(($B43))-Inputs!$B$71*COS(($B43)))-Inputs!$B$6)-(F43-Inputs!$B$6)*((Inputs!$C$71*COS(($B43))+Inputs!$B$71*SIN(($B43)))-Inputs!$B$5))/G43)-IF(((((Inputs!$C$71*COS(($B43))+Inputs!$B$71*SIN(($B43)))-Inputs!$B$5)*(E43-Inputs!$B$5)+((Inputs!$C$71*SIN(($B43))-Inputs!$B$71*COS(($B43)))-Inputs!$B$6)*(F43-Inputs!$B$6))/G43)&lt;$B$16,$B$7/2,$B$8/2)-Inputs!$B$39),IF(OR(Inputs!$C$72=0,((((Inputs!$C$72*COS(($B43))+Inputs!$B$72*SIN(($B43)))-Inputs!$B$5)*(E43-Inputs!$B$5)+((Inputs!$C$72*SIN(($B43))-Inputs!$B$72*COS(($B43)))-Inputs!$B$6)*(F43-Inputs!$B$6))/G43)&lt;0,((((Inputs!$C$72*COS(($B43))+Inputs!$B$72*SIN(($B43)))-Inputs!$B$5)*(E43-Inputs!$B$5)+((Inputs!$C$72*SIN(($B43))-Inputs!$B$72*COS(($B43)))-Inputs!$B$6)*(F43-Inputs!$B$6))/G43)&gt;G43-Inputs!$B$40),999,(ABS((E43-Inputs!$B$5)*((Inputs!$C$72*SIN(($B43))-Inputs!$B$72*COS(($B43)))-Inputs!$B$6)-(F43-Inputs!$B$6)*((Inputs!$C$72*COS(($B43))+Inputs!$B$72*SIN(($B43)))-Inputs!$B$5))/G43)-IF(((((Inputs!$C$72*COS(($B43))+Inputs!$B$72*SIN(($B43)))-Inputs!$B$5)*(E43-Inputs!$B$5)+((Inputs!$C$72*SIN(($B43))-Inputs!$B$72*COS(($B43)))-Inputs!$B$6)*(F43-Inputs!$B$6))/G43)&lt;$B$16,$B$7/2,$B$8/2)-Inputs!$B$39))</f>
        <v>25.368703</v>
      </c>
      <c r="J43" s="76">
        <f>IF(AND(G43&gt;=$B$14,G43&lt;=$B$15,H43&lt;=Inputs!$B$38,I43&gt;=0,$D43=1),1,0)</f>
        <v>1</v>
      </c>
      <c r="K43" s="29">
        <f>Inputs!$B$11*COS((-$B43))-Inputs!$B$7*SIN((-$B43))</f>
        <v>95.855</v>
      </c>
      <c r="L43" s="29">
        <f>Inputs!$B$11*SIN((-$B43))+Inputs!$B$7*COS((-$B43))</f>
        <v>-200</v>
      </c>
      <c r="M43" s="29">
        <f>SQRT((K43-Inputs!$B$5)^2+(L43-Inputs!$B$6)^2)</f>
        <v>337.2842733</v>
      </c>
      <c r="N43" s="29">
        <f>MAX(MAX(Inputs!$B$5,(Inputs!$B$5+(K43-Inputs!$B$5)*MIN(1,$B$16/M43)))+$B$7/2,MAX((Inputs!$B$5+(K43-Inputs!$B$5)*MIN(1,$B$16/M43)),K43)+Inputs!$B$41)</f>
        <v>291.8</v>
      </c>
      <c r="O43" s="29">
        <f>MIN(IF(OR(Inputs!$C$68=0,((((Inputs!$C$68*COS((-$B43))+Inputs!$B$68*SIN((-$B43)))-Inputs!$B$5)*(K43-Inputs!$B$5)+((Inputs!$C$68*SIN((-$B43))-Inputs!$B$68*COS((-$B43)))-Inputs!$B$6)*(L43-Inputs!$B$6))/M43)&lt;0,((((Inputs!$C$68*COS((-$B43))+Inputs!$B$68*SIN((-$B43)))-Inputs!$B$5)*(K43-Inputs!$B$5)+((Inputs!$C$68*SIN((-$B43))-Inputs!$B$68*COS((-$B43)))-Inputs!$B$6)*(L43-Inputs!$B$6))/M43)&gt;M43-Inputs!$B$40),999,(ABS((K43-Inputs!$B$5)*((Inputs!$C$68*SIN((-$B43))-Inputs!$B$68*COS((-$B43)))-Inputs!$B$6)-(L43-Inputs!$B$6)*((Inputs!$C$68*COS((-$B43))+Inputs!$B$68*SIN((-$B43)))-Inputs!$B$5))/M43)-IF(((((Inputs!$C$68*COS((-$B43))+Inputs!$B$68*SIN((-$B43)))-Inputs!$B$5)*(K43-Inputs!$B$5)+((Inputs!$C$68*SIN((-$B43))-Inputs!$B$68*COS((-$B43)))-Inputs!$B$6)*(L43-Inputs!$B$6))/M43)&lt;$B$16,$B$7/2,$B$8/2)-Inputs!$B$39),IF(OR(Inputs!$C$69=0,((((Inputs!$C$69*COS((-$B43))+Inputs!$B$69*SIN((-$B43)))-Inputs!$B$5)*(K43-Inputs!$B$5)+((Inputs!$C$69*SIN((-$B43))-Inputs!$B$69*COS((-$B43)))-Inputs!$B$6)*(L43-Inputs!$B$6))/M43)&lt;0,((((Inputs!$C$69*COS((-$B43))+Inputs!$B$69*SIN((-$B43)))-Inputs!$B$5)*(K43-Inputs!$B$5)+((Inputs!$C$69*SIN((-$B43))-Inputs!$B$69*COS((-$B43)))-Inputs!$B$6)*(L43-Inputs!$B$6))/M43)&gt;M43-Inputs!$B$40),999,(ABS((K43-Inputs!$B$5)*((Inputs!$C$69*SIN((-$B43))-Inputs!$B$69*COS((-$B43)))-Inputs!$B$6)-(L43-Inputs!$B$6)*((Inputs!$C$69*COS((-$B43))+Inputs!$B$69*SIN((-$B43)))-Inputs!$B$5))/M43)-IF(((((Inputs!$C$69*COS((-$B43))+Inputs!$B$69*SIN((-$B43)))-Inputs!$B$5)*(K43-Inputs!$B$5)+((Inputs!$C$69*SIN((-$B43))-Inputs!$B$69*COS((-$B43)))-Inputs!$B$6)*(L43-Inputs!$B$6))/M43)&lt;$B$16,$B$7/2,$B$8/2)-Inputs!$B$39),IF(OR(Inputs!$C$70=0,((((Inputs!$C$70*COS((-$B43))+Inputs!$B$70*SIN((-$B43)))-Inputs!$B$5)*(K43-Inputs!$B$5)+((Inputs!$C$70*SIN((-$B43))-Inputs!$B$70*COS((-$B43)))-Inputs!$B$6)*(L43-Inputs!$B$6))/M43)&lt;0,((((Inputs!$C$70*COS((-$B43))+Inputs!$B$70*SIN((-$B43)))-Inputs!$B$5)*(K43-Inputs!$B$5)+((Inputs!$C$70*SIN((-$B43))-Inputs!$B$70*COS((-$B43)))-Inputs!$B$6)*(L43-Inputs!$B$6))/M43)&gt;M43-Inputs!$B$40),999,(ABS((K43-Inputs!$B$5)*((Inputs!$C$70*SIN((-$B43))-Inputs!$B$70*COS((-$B43)))-Inputs!$B$6)-(L43-Inputs!$B$6)*((Inputs!$C$70*COS((-$B43))+Inputs!$B$70*SIN((-$B43)))-Inputs!$B$5))/M43)-IF(((((Inputs!$C$70*COS((-$B43))+Inputs!$B$70*SIN((-$B43)))-Inputs!$B$5)*(K43-Inputs!$B$5)+((Inputs!$C$70*SIN((-$B43))-Inputs!$B$70*COS((-$B43)))-Inputs!$B$6)*(L43-Inputs!$B$6))/M43)&lt;$B$16,$B$7/2,$B$8/2)-Inputs!$B$39),IF(OR(Inputs!$C$71=0,((((Inputs!$C$71*COS((-$B43))+Inputs!$B$71*SIN((-$B43)))-Inputs!$B$5)*(K43-Inputs!$B$5)+((Inputs!$C$71*SIN((-$B43))-Inputs!$B$71*COS((-$B43)))-Inputs!$B$6)*(L43-Inputs!$B$6))/M43)&lt;0,((((Inputs!$C$71*COS((-$B43))+Inputs!$B$71*SIN((-$B43)))-Inputs!$B$5)*(K43-Inputs!$B$5)+((Inputs!$C$71*SIN((-$B43))-Inputs!$B$71*COS((-$B43)))-Inputs!$B$6)*(L43-Inputs!$B$6))/M43)&gt;M43-Inputs!$B$40),999,(ABS((K43-Inputs!$B$5)*((Inputs!$C$71*SIN((-$B43))-Inputs!$B$71*COS((-$B43)))-Inputs!$B$6)-(L43-Inputs!$B$6)*((Inputs!$C$71*COS((-$B43))+Inputs!$B$71*SIN((-$B43)))-Inputs!$B$5))/M43)-IF(((((Inputs!$C$71*COS((-$B43))+Inputs!$B$71*SIN((-$B43)))-Inputs!$B$5)*(K43-Inputs!$B$5)+((Inputs!$C$71*SIN((-$B43))-Inputs!$B$71*COS((-$B43)))-Inputs!$B$6)*(L43-Inputs!$B$6))/M43)&lt;$B$16,$B$7/2,$B$8/2)-Inputs!$B$39),IF(OR(Inputs!$C$72=0,((((Inputs!$C$72*COS((-$B43))+Inputs!$B$72*SIN((-$B43)))-Inputs!$B$5)*(K43-Inputs!$B$5)+((Inputs!$C$72*SIN((-$B43))-Inputs!$B$72*COS((-$B43)))-Inputs!$B$6)*(L43-Inputs!$B$6))/M43)&lt;0,((((Inputs!$C$72*COS((-$B43))+Inputs!$B$72*SIN((-$B43)))-Inputs!$B$5)*(K43-Inputs!$B$5)+((Inputs!$C$72*SIN((-$B43))-Inputs!$B$72*COS((-$B43)))-Inputs!$B$6)*(L43-Inputs!$B$6))/M43)&gt;M43-Inputs!$B$40),999,(ABS((K43-Inputs!$B$5)*((Inputs!$C$72*SIN((-$B43))-Inputs!$B$72*COS((-$B43)))-Inputs!$B$6)-(L43-Inputs!$B$6)*((Inputs!$C$72*COS((-$B43))+Inputs!$B$72*SIN((-$B43)))-Inputs!$B$5))/M43)-IF(((((Inputs!$C$72*COS((-$B43))+Inputs!$B$72*SIN((-$B43)))-Inputs!$B$5)*(K43-Inputs!$B$5)+((Inputs!$C$72*SIN((-$B43))-Inputs!$B$72*COS((-$B43)))-Inputs!$B$6)*(L43-Inputs!$B$6))/M43)&lt;$B$16,$B$7/2,$B$8/2)-Inputs!$B$39))</f>
        <v>25.368703</v>
      </c>
      <c r="P43" s="76">
        <f>IF(AND(M43&gt;=$B$14,M43&lt;=$B$15,N43&lt;=Inputs!$B$38,O43&gt;=0,$D43=1),1,0)</f>
        <v>1</v>
      </c>
      <c r="X43" s="15">
        <v>4.0</v>
      </c>
      <c r="Y43" s="22">
        <f t="shared" si="1"/>
        <v>291.8</v>
      </c>
      <c r="Z43" s="22">
        <f>Inputs!$B$38</f>
        <v>350</v>
      </c>
      <c r="AA43" s="22">
        <f t="shared" si="2"/>
        <v>30.44135504</v>
      </c>
      <c r="AB43" s="15">
        <v>0.0</v>
      </c>
    </row>
    <row r="44" ht="15.75" customHeight="1">
      <c r="A44" s="23">
        <v>0.25</v>
      </c>
      <c r="B44" s="40">
        <f t="shared" si="4"/>
        <v>0.00436332313</v>
      </c>
      <c r="C44" s="29">
        <f>MAX(Inputs!$C$68*COS($B44)+Inputs!$B$68*ABS(SIN($B44)),Inputs!$C$69*COS($B44)+Inputs!$B$69*ABS(SIN($B44)),Inputs!$C$70*COS($B44)+Inputs!$B$70*ABS(SIN($B44)),Inputs!$C$71*COS($B44)+Inputs!$B$71*ABS(SIN($B44)),Inputs!$C$72*COS($B44)+Inputs!$B$72*ABS(SIN($B44)))</f>
        <v>89.16095229</v>
      </c>
      <c r="D44" s="71">
        <f>IF(C44&lt;=Inputs!$B$38,1,0)</f>
        <v>1</v>
      </c>
      <c r="E44" s="29">
        <f>Inputs!$B$11*COS(($B44))-Inputs!$B$7*SIN(($B44))</f>
        <v>96.72674939</v>
      </c>
      <c r="F44" s="29">
        <f>Inputs!$B$11*SIN(($B44))+Inputs!$B$7*COS(($B44))</f>
        <v>-199.5798511</v>
      </c>
      <c r="G44" s="29">
        <f>SQRT((E44-Inputs!$B$5)^2+(F44-Inputs!$B$6)^2)</f>
        <v>336.5126692</v>
      </c>
      <c r="H44" s="29">
        <f>MAX(MAX(Inputs!$B$5,(Inputs!$B$5+(E44-Inputs!$B$5)*MIN(1,$B$16/G44)))+$B$7/2,MAX((Inputs!$B$5+(E44-Inputs!$B$5)*MIN(1,$B$16/G44)),E44)+Inputs!$B$41)</f>
        <v>291.8</v>
      </c>
      <c r="I44" s="29">
        <f>MIN(IF(OR(Inputs!$C$68=0,((((Inputs!$C$68*COS(($B44))+Inputs!$B$68*SIN(($B44)))-Inputs!$B$5)*(E44-Inputs!$B$5)+((Inputs!$C$68*SIN(($B44))-Inputs!$B$68*COS(($B44)))-Inputs!$B$6)*(F44-Inputs!$B$6))/G44)&lt;0,((((Inputs!$C$68*COS(($B44))+Inputs!$B$68*SIN(($B44)))-Inputs!$B$5)*(E44-Inputs!$B$5)+((Inputs!$C$68*SIN(($B44))-Inputs!$B$68*COS(($B44)))-Inputs!$B$6)*(F44-Inputs!$B$6))/G44)&gt;G44-Inputs!$B$40),999,(ABS((E44-Inputs!$B$5)*((Inputs!$C$68*SIN(($B44))-Inputs!$B$68*COS(($B44)))-Inputs!$B$6)-(F44-Inputs!$B$6)*((Inputs!$C$68*COS(($B44))+Inputs!$B$68*SIN(($B44)))-Inputs!$B$5))/G44)-IF(((((Inputs!$C$68*COS(($B44))+Inputs!$B$68*SIN(($B44)))-Inputs!$B$5)*(E44-Inputs!$B$5)+((Inputs!$C$68*SIN(($B44))-Inputs!$B$68*COS(($B44)))-Inputs!$B$6)*(F44-Inputs!$B$6))/G44)&lt;$B$16,$B$7/2,$B$8/2)-Inputs!$B$39),IF(OR(Inputs!$C$69=0,((((Inputs!$C$69*COS(($B44))+Inputs!$B$69*SIN(($B44)))-Inputs!$B$5)*(E44-Inputs!$B$5)+((Inputs!$C$69*SIN(($B44))-Inputs!$B$69*COS(($B44)))-Inputs!$B$6)*(F44-Inputs!$B$6))/G44)&lt;0,((((Inputs!$C$69*COS(($B44))+Inputs!$B$69*SIN(($B44)))-Inputs!$B$5)*(E44-Inputs!$B$5)+((Inputs!$C$69*SIN(($B44))-Inputs!$B$69*COS(($B44)))-Inputs!$B$6)*(F44-Inputs!$B$6))/G44)&gt;G44-Inputs!$B$40),999,(ABS((E44-Inputs!$B$5)*((Inputs!$C$69*SIN(($B44))-Inputs!$B$69*COS(($B44)))-Inputs!$B$6)-(F44-Inputs!$B$6)*((Inputs!$C$69*COS(($B44))+Inputs!$B$69*SIN(($B44)))-Inputs!$B$5))/G44)-IF(((((Inputs!$C$69*COS(($B44))+Inputs!$B$69*SIN(($B44)))-Inputs!$B$5)*(E44-Inputs!$B$5)+((Inputs!$C$69*SIN(($B44))-Inputs!$B$69*COS(($B44)))-Inputs!$B$6)*(F44-Inputs!$B$6))/G44)&lt;$B$16,$B$7/2,$B$8/2)-Inputs!$B$39),IF(OR(Inputs!$C$70=0,((((Inputs!$C$70*COS(($B44))+Inputs!$B$70*SIN(($B44)))-Inputs!$B$5)*(E44-Inputs!$B$5)+((Inputs!$C$70*SIN(($B44))-Inputs!$B$70*COS(($B44)))-Inputs!$B$6)*(F44-Inputs!$B$6))/G44)&lt;0,((((Inputs!$C$70*COS(($B44))+Inputs!$B$70*SIN(($B44)))-Inputs!$B$5)*(E44-Inputs!$B$5)+((Inputs!$C$70*SIN(($B44))-Inputs!$B$70*COS(($B44)))-Inputs!$B$6)*(F44-Inputs!$B$6))/G44)&gt;G44-Inputs!$B$40),999,(ABS((E44-Inputs!$B$5)*((Inputs!$C$70*SIN(($B44))-Inputs!$B$70*COS(($B44)))-Inputs!$B$6)-(F44-Inputs!$B$6)*((Inputs!$C$70*COS(($B44))+Inputs!$B$70*SIN(($B44)))-Inputs!$B$5))/G44)-IF(((((Inputs!$C$70*COS(($B44))+Inputs!$B$70*SIN(($B44)))-Inputs!$B$5)*(E44-Inputs!$B$5)+((Inputs!$C$70*SIN(($B44))-Inputs!$B$70*COS(($B44)))-Inputs!$B$6)*(F44-Inputs!$B$6))/G44)&lt;$B$16,$B$7/2,$B$8/2)-Inputs!$B$39),IF(OR(Inputs!$C$71=0,((((Inputs!$C$71*COS(($B44))+Inputs!$B$71*SIN(($B44)))-Inputs!$B$5)*(E44-Inputs!$B$5)+((Inputs!$C$71*SIN(($B44))-Inputs!$B$71*COS(($B44)))-Inputs!$B$6)*(F44-Inputs!$B$6))/G44)&lt;0,((((Inputs!$C$71*COS(($B44))+Inputs!$B$71*SIN(($B44)))-Inputs!$B$5)*(E44-Inputs!$B$5)+((Inputs!$C$71*SIN(($B44))-Inputs!$B$71*COS(($B44)))-Inputs!$B$6)*(F44-Inputs!$B$6))/G44)&gt;G44-Inputs!$B$40),999,(ABS((E44-Inputs!$B$5)*((Inputs!$C$71*SIN(($B44))-Inputs!$B$71*COS(($B44)))-Inputs!$B$6)-(F44-Inputs!$B$6)*((Inputs!$C$71*COS(($B44))+Inputs!$B$71*SIN(($B44)))-Inputs!$B$5))/G44)-IF(((((Inputs!$C$71*COS(($B44))+Inputs!$B$71*SIN(($B44)))-Inputs!$B$5)*(E44-Inputs!$B$5)+((Inputs!$C$71*SIN(($B44))-Inputs!$B$71*COS(($B44)))-Inputs!$B$6)*(F44-Inputs!$B$6))/G44)&lt;$B$16,$B$7/2,$B$8/2)-Inputs!$B$39),IF(OR(Inputs!$C$72=0,((((Inputs!$C$72*COS(($B44))+Inputs!$B$72*SIN(($B44)))-Inputs!$B$5)*(E44-Inputs!$B$5)+((Inputs!$C$72*SIN(($B44))-Inputs!$B$72*COS(($B44)))-Inputs!$B$6)*(F44-Inputs!$B$6))/G44)&lt;0,((((Inputs!$C$72*COS(($B44))+Inputs!$B$72*SIN(($B44)))-Inputs!$B$5)*(E44-Inputs!$B$5)+((Inputs!$C$72*SIN(($B44))-Inputs!$B$72*COS(($B44)))-Inputs!$B$6)*(F44-Inputs!$B$6))/G44)&gt;G44-Inputs!$B$40),999,(ABS((E44-Inputs!$B$5)*((Inputs!$C$72*SIN(($B44))-Inputs!$B$72*COS(($B44)))-Inputs!$B$6)-(F44-Inputs!$B$6)*((Inputs!$C$72*COS(($B44))+Inputs!$B$72*SIN(($B44)))-Inputs!$B$5))/G44)-IF(((((Inputs!$C$72*COS(($B44))+Inputs!$B$72*SIN(($B44)))-Inputs!$B$5)*(E44-Inputs!$B$5)+((Inputs!$C$72*SIN(($B44))-Inputs!$B$72*COS(($B44)))-Inputs!$B$6)*(F44-Inputs!$B$6))/G44)&lt;$B$16,$B$7/2,$B$8/2)-Inputs!$B$39))</f>
        <v>25.68756852</v>
      </c>
      <c r="J44" s="76">
        <f>IF(AND(G44&gt;=$B$14,G44&lt;=$B$15,H44&lt;=Inputs!$B$38,I44&gt;=0,$D44=1),1,0)</f>
        <v>1</v>
      </c>
      <c r="K44" s="29">
        <f>Inputs!$B$11*COS((-$B44))-Inputs!$B$7*SIN((-$B44))</f>
        <v>94.98142567</v>
      </c>
      <c r="L44" s="29">
        <f>Inputs!$B$11*SIN((-$B44))+Inputs!$B$7*COS((-$B44))</f>
        <v>-200.4163412</v>
      </c>
      <c r="M44" s="29">
        <f>SQRT((K44-Inputs!$B$5)^2+(L44-Inputs!$B$6)^2)</f>
        <v>338.0543394</v>
      </c>
      <c r="N44" s="29">
        <f>MAX(MAX(Inputs!$B$5,(Inputs!$B$5+(K44-Inputs!$B$5)*MIN(1,$B$16/M44)))+$B$7/2,MAX((Inputs!$B$5+(K44-Inputs!$B$5)*MIN(1,$B$16/M44)),K44)+Inputs!$B$41)</f>
        <v>291.8</v>
      </c>
      <c r="O44" s="29">
        <f>MIN(IF(OR(Inputs!$C$68=0,((((Inputs!$C$68*COS((-$B44))+Inputs!$B$68*SIN((-$B44)))-Inputs!$B$5)*(K44-Inputs!$B$5)+((Inputs!$C$68*SIN((-$B44))-Inputs!$B$68*COS((-$B44)))-Inputs!$B$6)*(L44-Inputs!$B$6))/M44)&lt;0,((((Inputs!$C$68*COS((-$B44))+Inputs!$B$68*SIN((-$B44)))-Inputs!$B$5)*(K44-Inputs!$B$5)+((Inputs!$C$68*SIN((-$B44))-Inputs!$B$68*COS((-$B44)))-Inputs!$B$6)*(L44-Inputs!$B$6))/M44)&gt;M44-Inputs!$B$40),999,(ABS((K44-Inputs!$B$5)*((Inputs!$C$68*SIN((-$B44))-Inputs!$B$68*COS((-$B44)))-Inputs!$B$6)-(L44-Inputs!$B$6)*((Inputs!$C$68*COS((-$B44))+Inputs!$B$68*SIN((-$B44)))-Inputs!$B$5))/M44)-IF(((((Inputs!$C$68*COS((-$B44))+Inputs!$B$68*SIN((-$B44)))-Inputs!$B$5)*(K44-Inputs!$B$5)+((Inputs!$C$68*SIN((-$B44))-Inputs!$B$68*COS((-$B44)))-Inputs!$B$6)*(L44-Inputs!$B$6))/M44)&lt;$B$16,$B$7/2,$B$8/2)-Inputs!$B$39),IF(OR(Inputs!$C$69=0,((((Inputs!$C$69*COS((-$B44))+Inputs!$B$69*SIN((-$B44)))-Inputs!$B$5)*(K44-Inputs!$B$5)+((Inputs!$C$69*SIN((-$B44))-Inputs!$B$69*COS((-$B44)))-Inputs!$B$6)*(L44-Inputs!$B$6))/M44)&lt;0,((((Inputs!$C$69*COS((-$B44))+Inputs!$B$69*SIN((-$B44)))-Inputs!$B$5)*(K44-Inputs!$B$5)+((Inputs!$C$69*SIN((-$B44))-Inputs!$B$69*COS((-$B44)))-Inputs!$B$6)*(L44-Inputs!$B$6))/M44)&gt;M44-Inputs!$B$40),999,(ABS((K44-Inputs!$B$5)*((Inputs!$C$69*SIN((-$B44))-Inputs!$B$69*COS((-$B44)))-Inputs!$B$6)-(L44-Inputs!$B$6)*((Inputs!$C$69*COS((-$B44))+Inputs!$B$69*SIN((-$B44)))-Inputs!$B$5))/M44)-IF(((((Inputs!$C$69*COS((-$B44))+Inputs!$B$69*SIN((-$B44)))-Inputs!$B$5)*(K44-Inputs!$B$5)+((Inputs!$C$69*SIN((-$B44))-Inputs!$B$69*COS((-$B44)))-Inputs!$B$6)*(L44-Inputs!$B$6))/M44)&lt;$B$16,$B$7/2,$B$8/2)-Inputs!$B$39),IF(OR(Inputs!$C$70=0,((((Inputs!$C$70*COS((-$B44))+Inputs!$B$70*SIN((-$B44)))-Inputs!$B$5)*(K44-Inputs!$B$5)+((Inputs!$C$70*SIN((-$B44))-Inputs!$B$70*COS((-$B44)))-Inputs!$B$6)*(L44-Inputs!$B$6))/M44)&lt;0,((((Inputs!$C$70*COS((-$B44))+Inputs!$B$70*SIN((-$B44)))-Inputs!$B$5)*(K44-Inputs!$B$5)+((Inputs!$C$70*SIN((-$B44))-Inputs!$B$70*COS((-$B44)))-Inputs!$B$6)*(L44-Inputs!$B$6))/M44)&gt;M44-Inputs!$B$40),999,(ABS((K44-Inputs!$B$5)*((Inputs!$C$70*SIN((-$B44))-Inputs!$B$70*COS((-$B44)))-Inputs!$B$6)-(L44-Inputs!$B$6)*((Inputs!$C$70*COS((-$B44))+Inputs!$B$70*SIN((-$B44)))-Inputs!$B$5))/M44)-IF(((((Inputs!$C$70*COS((-$B44))+Inputs!$B$70*SIN((-$B44)))-Inputs!$B$5)*(K44-Inputs!$B$5)+((Inputs!$C$70*SIN((-$B44))-Inputs!$B$70*COS((-$B44)))-Inputs!$B$6)*(L44-Inputs!$B$6))/M44)&lt;$B$16,$B$7/2,$B$8/2)-Inputs!$B$39),IF(OR(Inputs!$C$71=0,((((Inputs!$C$71*COS((-$B44))+Inputs!$B$71*SIN((-$B44)))-Inputs!$B$5)*(K44-Inputs!$B$5)+((Inputs!$C$71*SIN((-$B44))-Inputs!$B$71*COS((-$B44)))-Inputs!$B$6)*(L44-Inputs!$B$6))/M44)&lt;0,((((Inputs!$C$71*COS((-$B44))+Inputs!$B$71*SIN((-$B44)))-Inputs!$B$5)*(K44-Inputs!$B$5)+((Inputs!$C$71*SIN((-$B44))-Inputs!$B$71*COS((-$B44)))-Inputs!$B$6)*(L44-Inputs!$B$6))/M44)&gt;M44-Inputs!$B$40),999,(ABS((K44-Inputs!$B$5)*((Inputs!$C$71*SIN((-$B44))-Inputs!$B$71*COS((-$B44)))-Inputs!$B$6)-(L44-Inputs!$B$6)*((Inputs!$C$71*COS((-$B44))+Inputs!$B$71*SIN((-$B44)))-Inputs!$B$5))/M44)-IF(((((Inputs!$C$71*COS((-$B44))+Inputs!$B$71*SIN((-$B44)))-Inputs!$B$5)*(K44-Inputs!$B$5)+((Inputs!$C$71*SIN((-$B44))-Inputs!$B$71*COS((-$B44)))-Inputs!$B$6)*(L44-Inputs!$B$6))/M44)&lt;$B$16,$B$7/2,$B$8/2)-Inputs!$B$39),IF(OR(Inputs!$C$72=0,((((Inputs!$C$72*COS((-$B44))+Inputs!$B$72*SIN((-$B44)))-Inputs!$B$5)*(K44-Inputs!$B$5)+((Inputs!$C$72*SIN((-$B44))-Inputs!$B$72*COS((-$B44)))-Inputs!$B$6)*(L44-Inputs!$B$6))/M44)&lt;0,((((Inputs!$C$72*COS((-$B44))+Inputs!$B$72*SIN((-$B44)))-Inputs!$B$5)*(K44-Inputs!$B$5)+((Inputs!$C$72*SIN((-$B44))-Inputs!$B$72*COS((-$B44)))-Inputs!$B$6)*(L44-Inputs!$B$6))/M44)&gt;M44-Inputs!$B$40),999,(ABS((K44-Inputs!$B$5)*((Inputs!$C$72*SIN((-$B44))-Inputs!$B$72*COS((-$B44)))-Inputs!$B$6)-(L44-Inputs!$B$6)*((Inputs!$C$72*COS((-$B44))+Inputs!$B$72*SIN((-$B44)))-Inputs!$B$5))/M44)-IF(((((Inputs!$C$72*COS((-$B44))+Inputs!$B$72*SIN((-$B44)))-Inputs!$B$5)*(K44-Inputs!$B$5)+((Inputs!$C$72*SIN((-$B44))-Inputs!$B$72*COS((-$B44)))-Inputs!$B$6)*(L44-Inputs!$B$6))/M44)&lt;$B$16,$B$7/2,$B$8/2)-Inputs!$B$39))</f>
        <v>25.04960056</v>
      </c>
      <c r="P44" s="76">
        <f>IF(AND(M44&gt;=$B$14,M44&lt;=$B$15,N44&lt;=Inputs!$B$38,O44&gt;=0,$D44=1),1,0)</f>
        <v>1</v>
      </c>
      <c r="X44" s="15">
        <v>4.5</v>
      </c>
      <c r="Y44" s="22">
        <f t="shared" si="1"/>
        <v>291.8</v>
      </c>
      <c r="Z44" s="22">
        <f>Inputs!$B$38</f>
        <v>350</v>
      </c>
      <c r="AA44" s="22">
        <f t="shared" si="2"/>
        <v>31.07094368</v>
      </c>
      <c r="AB44" s="15">
        <v>0.0</v>
      </c>
    </row>
    <row r="45" ht="15.75" customHeight="1">
      <c r="A45" s="23">
        <v>0.5</v>
      </c>
      <c r="B45" s="40">
        <f t="shared" si="4"/>
        <v>0.00872664626</v>
      </c>
      <c r="C45" s="29">
        <f>MAX(Inputs!$C$68*COS($B45)+Inputs!$B$68*ABS(SIN($B45)),Inputs!$C$69*COS($B45)+Inputs!$B$69*ABS(SIN($B45)),Inputs!$C$70*COS($B45)+Inputs!$B$70*ABS(SIN($B45)),Inputs!$C$71*COS($B45)+Inputs!$B$71*ABS(SIN($B45)),Inputs!$C$72*COS($B45)+Inputs!$B$72*ABS(SIN($B45)))</f>
        <v>89.42020709</v>
      </c>
      <c r="D45" s="71">
        <f>IF(C45&lt;=Inputs!$B$38,1,0)</f>
        <v>1</v>
      </c>
      <c r="E45" s="29">
        <f>Inputs!$B$11*COS(($B45))-Inputs!$B$7*SIN(($B45))</f>
        <v>97.59665723</v>
      </c>
      <c r="F45" s="29">
        <f>Inputs!$B$11*SIN(($B45))+Inputs!$B$7*COS(($B45))</f>
        <v>-199.1559026</v>
      </c>
      <c r="G45" s="29">
        <f>SQRT((E45-Inputs!$B$5)^2+(F45-Inputs!$B$6)^2)</f>
        <v>335.7395314</v>
      </c>
      <c r="H45" s="29">
        <f>MAX(MAX(Inputs!$B$5,(Inputs!$B$5+(E45-Inputs!$B$5)*MIN(1,$B$16/G45)))+$B$7/2,MAX((Inputs!$B$5+(E45-Inputs!$B$5)*MIN(1,$B$16/G45)),E45)+Inputs!$B$41)</f>
        <v>291.8</v>
      </c>
      <c r="I45" s="29">
        <f>MIN(IF(OR(Inputs!$C$68=0,((((Inputs!$C$68*COS(($B45))+Inputs!$B$68*SIN(($B45)))-Inputs!$B$5)*(E45-Inputs!$B$5)+((Inputs!$C$68*SIN(($B45))-Inputs!$B$68*COS(($B45)))-Inputs!$B$6)*(F45-Inputs!$B$6))/G45)&lt;0,((((Inputs!$C$68*COS(($B45))+Inputs!$B$68*SIN(($B45)))-Inputs!$B$5)*(E45-Inputs!$B$5)+((Inputs!$C$68*SIN(($B45))-Inputs!$B$68*COS(($B45)))-Inputs!$B$6)*(F45-Inputs!$B$6))/G45)&gt;G45-Inputs!$B$40),999,(ABS((E45-Inputs!$B$5)*((Inputs!$C$68*SIN(($B45))-Inputs!$B$68*COS(($B45)))-Inputs!$B$6)-(F45-Inputs!$B$6)*((Inputs!$C$68*COS(($B45))+Inputs!$B$68*SIN(($B45)))-Inputs!$B$5))/G45)-IF(((((Inputs!$C$68*COS(($B45))+Inputs!$B$68*SIN(($B45)))-Inputs!$B$5)*(E45-Inputs!$B$5)+((Inputs!$C$68*SIN(($B45))-Inputs!$B$68*COS(($B45)))-Inputs!$B$6)*(F45-Inputs!$B$6))/G45)&lt;$B$16,$B$7/2,$B$8/2)-Inputs!$B$39),IF(OR(Inputs!$C$69=0,((((Inputs!$C$69*COS(($B45))+Inputs!$B$69*SIN(($B45)))-Inputs!$B$5)*(E45-Inputs!$B$5)+((Inputs!$C$69*SIN(($B45))-Inputs!$B$69*COS(($B45)))-Inputs!$B$6)*(F45-Inputs!$B$6))/G45)&lt;0,((((Inputs!$C$69*COS(($B45))+Inputs!$B$69*SIN(($B45)))-Inputs!$B$5)*(E45-Inputs!$B$5)+((Inputs!$C$69*SIN(($B45))-Inputs!$B$69*COS(($B45)))-Inputs!$B$6)*(F45-Inputs!$B$6))/G45)&gt;G45-Inputs!$B$40),999,(ABS((E45-Inputs!$B$5)*((Inputs!$C$69*SIN(($B45))-Inputs!$B$69*COS(($B45)))-Inputs!$B$6)-(F45-Inputs!$B$6)*((Inputs!$C$69*COS(($B45))+Inputs!$B$69*SIN(($B45)))-Inputs!$B$5))/G45)-IF(((((Inputs!$C$69*COS(($B45))+Inputs!$B$69*SIN(($B45)))-Inputs!$B$5)*(E45-Inputs!$B$5)+((Inputs!$C$69*SIN(($B45))-Inputs!$B$69*COS(($B45)))-Inputs!$B$6)*(F45-Inputs!$B$6))/G45)&lt;$B$16,$B$7/2,$B$8/2)-Inputs!$B$39),IF(OR(Inputs!$C$70=0,((((Inputs!$C$70*COS(($B45))+Inputs!$B$70*SIN(($B45)))-Inputs!$B$5)*(E45-Inputs!$B$5)+((Inputs!$C$70*SIN(($B45))-Inputs!$B$70*COS(($B45)))-Inputs!$B$6)*(F45-Inputs!$B$6))/G45)&lt;0,((((Inputs!$C$70*COS(($B45))+Inputs!$B$70*SIN(($B45)))-Inputs!$B$5)*(E45-Inputs!$B$5)+((Inputs!$C$70*SIN(($B45))-Inputs!$B$70*COS(($B45)))-Inputs!$B$6)*(F45-Inputs!$B$6))/G45)&gt;G45-Inputs!$B$40),999,(ABS((E45-Inputs!$B$5)*((Inputs!$C$70*SIN(($B45))-Inputs!$B$70*COS(($B45)))-Inputs!$B$6)-(F45-Inputs!$B$6)*((Inputs!$C$70*COS(($B45))+Inputs!$B$70*SIN(($B45)))-Inputs!$B$5))/G45)-IF(((((Inputs!$C$70*COS(($B45))+Inputs!$B$70*SIN(($B45)))-Inputs!$B$5)*(E45-Inputs!$B$5)+((Inputs!$C$70*SIN(($B45))-Inputs!$B$70*COS(($B45)))-Inputs!$B$6)*(F45-Inputs!$B$6))/G45)&lt;$B$16,$B$7/2,$B$8/2)-Inputs!$B$39),IF(OR(Inputs!$C$71=0,((((Inputs!$C$71*COS(($B45))+Inputs!$B$71*SIN(($B45)))-Inputs!$B$5)*(E45-Inputs!$B$5)+((Inputs!$C$71*SIN(($B45))-Inputs!$B$71*COS(($B45)))-Inputs!$B$6)*(F45-Inputs!$B$6))/G45)&lt;0,((((Inputs!$C$71*COS(($B45))+Inputs!$B$71*SIN(($B45)))-Inputs!$B$5)*(E45-Inputs!$B$5)+((Inputs!$C$71*SIN(($B45))-Inputs!$B$71*COS(($B45)))-Inputs!$B$6)*(F45-Inputs!$B$6))/G45)&gt;G45-Inputs!$B$40),999,(ABS((E45-Inputs!$B$5)*((Inputs!$C$71*SIN(($B45))-Inputs!$B$71*COS(($B45)))-Inputs!$B$6)-(F45-Inputs!$B$6)*((Inputs!$C$71*COS(($B45))+Inputs!$B$71*SIN(($B45)))-Inputs!$B$5))/G45)-IF(((((Inputs!$C$71*COS(($B45))+Inputs!$B$71*SIN(($B45)))-Inputs!$B$5)*(E45-Inputs!$B$5)+((Inputs!$C$71*SIN(($B45))-Inputs!$B$71*COS(($B45)))-Inputs!$B$6)*(F45-Inputs!$B$6))/G45)&lt;$B$16,$B$7/2,$B$8/2)-Inputs!$B$39),IF(OR(Inputs!$C$72=0,((((Inputs!$C$72*COS(($B45))+Inputs!$B$72*SIN(($B45)))-Inputs!$B$5)*(E45-Inputs!$B$5)+((Inputs!$C$72*SIN(($B45))-Inputs!$B$72*COS(($B45)))-Inputs!$B$6)*(F45-Inputs!$B$6))/G45)&lt;0,((((Inputs!$C$72*COS(($B45))+Inputs!$B$72*SIN(($B45)))-Inputs!$B$5)*(E45-Inputs!$B$5)+((Inputs!$C$72*SIN(($B45))-Inputs!$B$72*COS(($B45)))-Inputs!$B$6)*(F45-Inputs!$B$6))/G45)&gt;G45-Inputs!$B$40),999,(ABS((E45-Inputs!$B$5)*((Inputs!$C$72*SIN(($B45))-Inputs!$B$72*COS(($B45)))-Inputs!$B$6)-(F45-Inputs!$B$6)*((Inputs!$C$72*COS(($B45))+Inputs!$B$72*SIN(($B45)))-Inputs!$B$5))/G45)-IF(((((Inputs!$C$72*COS(($B45))+Inputs!$B$72*SIN(($B45)))-Inputs!$B$5)*(E45-Inputs!$B$5)+((Inputs!$C$72*SIN(($B45))-Inputs!$B$72*COS(($B45)))-Inputs!$B$6)*(F45-Inputs!$B$6))/G45)&lt;$B$16,$B$7/2,$B$8/2)-Inputs!$B$39))</f>
        <v>26.00619599</v>
      </c>
      <c r="J45" s="76">
        <f>IF(AND(G45&gt;=$B$14,G45&lt;=$B$15,H45&lt;=Inputs!$B$38,I45&gt;=0,$D45=1),1,0)</f>
        <v>1</v>
      </c>
      <c r="K45" s="29">
        <f>Inputs!$B$11*COS((-$B45))-Inputs!$B$7*SIN((-$B45))</f>
        <v>94.10604304</v>
      </c>
      <c r="L45" s="29">
        <f>Inputs!$B$11*SIN((-$B45))+Inputs!$B$7*COS((-$B45))</f>
        <v>-200.8288667</v>
      </c>
      <c r="M45" s="29">
        <f>SQRT((K45-Inputs!$B$5)^2+(L45-Inputs!$B$6)^2)</f>
        <v>338.8228635</v>
      </c>
      <c r="N45" s="29">
        <f>MAX(MAX(Inputs!$B$5,(Inputs!$B$5+(K45-Inputs!$B$5)*MIN(1,$B$16/M45)))+$B$7/2,MAX((Inputs!$B$5+(K45-Inputs!$B$5)*MIN(1,$B$16/M45)),K45)+Inputs!$B$41)</f>
        <v>291.8</v>
      </c>
      <c r="O45" s="29">
        <f>MIN(IF(OR(Inputs!$C$68=0,((((Inputs!$C$68*COS((-$B45))+Inputs!$B$68*SIN((-$B45)))-Inputs!$B$5)*(K45-Inputs!$B$5)+((Inputs!$C$68*SIN((-$B45))-Inputs!$B$68*COS((-$B45)))-Inputs!$B$6)*(L45-Inputs!$B$6))/M45)&lt;0,((((Inputs!$C$68*COS((-$B45))+Inputs!$B$68*SIN((-$B45)))-Inputs!$B$5)*(K45-Inputs!$B$5)+((Inputs!$C$68*SIN((-$B45))-Inputs!$B$68*COS((-$B45)))-Inputs!$B$6)*(L45-Inputs!$B$6))/M45)&gt;M45-Inputs!$B$40),999,(ABS((K45-Inputs!$B$5)*((Inputs!$C$68*SIN((-$B45))-Inputs!$B$68*COS((-$B45)))-Inputs!$B$6)-(L45-Inputs!$B$6)*((Inputs!$C$68*COS((-$B45))+Inputs!$B$68*SIN((-$B45)))-Inputs!$B$5))/M45)-IF(((((Inputs!$C$68*COS((-$B45))+Inputs!$B$68*SIN((-$B45)))-Inputs!$B$5)*(K45-Inputs!$B$5)+((Inputs!$C$68*SIN((-$B45))-Inputs!$B$68*COS((-$B45)))-Inputs!$B$6)*(L45-Inputs!$B$6))/M45)&lt;$B$16,$B$7/2,$B$8/2)-Inputs!$B$39),IF(OR(Inputs!$C$69=0,((((Inputs!$C$69*COS((-$B45))+Inputs!$B$69*SIN((-$B45)))-Inputs!$B$5)*(K45-Inputs!$B$5)+((Inputs!$C$69*SIN((-$B45))-Inputs!$B$69*COS((-$B45)))-Inputs!$B$6)*(L45-Inputs!$B$6))/M45)&lt;0,((((Inputs!$C$69*COS((-$B45))+Inputs!$B$69*SIN((-$B45)))-Inputs!$B$5)*(K45-Inputs!$B$5)+((Inputs!$C$69*SIN((-$B45))-Inputs!$B$69*COS((-$B45)))-Inputs!$B$6)*(L45-Inputs!$B$6))/M45)&gt;M45-Inputs!$B$40),999,(ABS((K45-Inputs!$B$5)*((Inputs!$C$69*SIN((-$B45))-Inputs!$B$69*COS((-$B45)))-Inputs!$B$6)-(L45-Inputs!$B$6)*((Inputs!$C$69*COS((-$B45))+Inputs!$B$69*SIN((-$B45)))-Inputs!$B$5))/M45)-IF(((((Inputs!$C$69*COS((-$B45))+Inputs!$B$69*SIN((-$B45)))-Inputs!$B$5)*(K45-Inputs!$B$5)+((Inputs!$C$69*SIN((-$B45))-Inputs!$B$69*COS((-$B45)))-Inputs!$B$6)*(L45-Inputs!$B$6))/M45)&lt;$B$16,$B$7/2,$B$8/2)-Inputs!$B$39),IF(OR(Inputs!$C$70=0,((((Inputs!$C$70*COS((-$B45))+Inputs!$B$70*SIN((-$B45)))-Inputs!$B$5)*(K45-Inputs!$B$5)+((Inputs!$C$70*SIN((-$B45))-Inputs!$B$70*COS((-$B45)))-Inputs!$B$6)*(L45-Inputs!$B$6))/M45)&lt;0,((((Inputs!$C$70*COS((-$B45))+Inputs!$B$70*SIN((-$B45)))-Inputs!$B$5)*(K45-Inputs!$B$5)+((Inputs!$C$70*SIN((-$B45))-Inputs!$B$70*COS((-$B45)))-Inputs!$B$6)*(L45-Inputs!$B$6))/M45)&gt;M45-Inputs!$B$40),999,(ABS((K45-Inputs!$B$5)*((Inputs!$C$70*SIN((-$B45))-Inputs!$B$70*COS((-$B45)))-Inputs!$B$6)-(L45-Inputs!$B$6)*((Inputs!$C$70*COS((-$B45))+Inputs!$B$70*SIN((-$B45)))-Inputs!$B$5))/M45)-IF(((((Inputs!$C$70*COS((-$B45))+Inputs!$B$70*SIN((-$B45)))-Inputs!$B$5)*(K45-Inputs!$B$5)+((Inputs!$C$70*SIN((-$B45))-Inputs!$B$70*COS((-$B45)))-Inputs!$B$6)*(L45-Inputs!$B$6))/M45)&lt;$B$16,$B$7/2,$B$8/2)-Inputs!$B$39),IF(OR(Inputs!$C$71=0,((((Inputs!$C$71*COS((-$B45))+Inputs!$B$71*SIN((-$B45)))-Inputs!$B$5)*(K45-Inputs!$B$5)+((Inputs!$C$71*SIN((-$B45))-Inputs!$B$71*COS((-$B45)))-Inputs!$B$6)*(L45-Inputs!$B$6))/M45)&lt;0,((((Inputs!$C$71*COS((-$B45))+Inputs!$B$71*SIN((-$B45)))-Inputs!$B$5)*(K45-Inputs!$B$5)+((Inputs!$C$71*SIN((-$B45))-Inputs!$B$71*COS((-$B45)))-Inputs!$B$6)*(L45-Inputs!$B$6))/M45)&gt;M45-Inputs!$B$40),999,(ABS((K45-Inputs!$B$5)*((Inputs!$C$71*SIN((-$B45))-Inputs!$B$71*COS((-$B45)))-Inputs!$B$6)-(L45-Inputs!$B$6)*((Inputs!$C$71*COS((-$B45))+Inputs!$B$71*SIN((-$B45)))-Inputs!$B$5))/M45)-IF(((((Inputs!$C$71*COS((-$B45))+Inputs!$B$71*SIN((-$B45)))-Inputs!$B$5)*(K45-Inputs!$B$5)+((Inputs!$C$71*SIN((-$B45))-Inputs!$B$71*COS((-$B45)))-Inputs!$B$6)*(L45-Inputs!$B$6))/M45)&lt;$B$16,$B$7/2,$B$8/2)-Inputs!$B$39),IF(OR(Inputs!$C$72=0,((((Inputs!$C$72*COS((-$B45))+Inputs!$B$72*SIN((-$B45)))-Inputs!$B$5)*(K45-Inputs!$B$5)+((Inputs!$C$72*SIN((-$B45))-Inputs!$B$72*COS((-$B45)))-Inputs!$B$6)*(L45-Inputs!$B$6))/M45)&lt;0,((((Inputs!$C$72*COS((-$B45))+Inputs!$B$72*SIN((-$B45)))-Inputs!$B$5)*(K45-Inputs!$B$5)+((Inputs!$C$72*SIN((-$B45))-Inputs!$B$72*COS((-$B45)))-Inputs!$B$6)*(L45-Inputs!$B$6))/M45)&gt;M45-Inputs!$B$40),999,(ABS((K45-Inputs!$B$5)*((Inputs!$C$72*SIN((-$B45))-Inputs!$B$72*COS((-$B45)))-Inputs!$B$6)-(L45-Inputs!$B$6)*((Inputs!$C$72*COS((-$B45))+Inputs!$B$72*SIN((-$B45)))-Inputs!$B$5))/M45)-IF(((((Inputs!$C$72*COS((-$B45))+Inputs!$B$72*SIN((-$B45)))-Inputs!$B$5)*(K45-Inputs!$B$5)+((Inputs!$C$72*SIN((-$B45))-Inputs!$B$72*COS((-$B45)))-Inputs!$B$6)*(L45-Inputs!$B$6))/M45)&lt;$B$16,$B$7/2,$B$8/2)-Inputs!$B$39))</f>
        <v>24.73026235</v>
      </c>
      <c r="P45" s="76">
        <f>IF(AND(M45&gt;=$B$14,M45&lt;=$B$15,N45&lt;=Inputs!$B$38,O45&gt;=0,$D45=1),1,0)</f>
        <v>1</v>
      </c>
      <c r="X45" s="15">
        <v>5.0</v>
      </c>
      <c r="Y45" s="22">
        <f t="shared" si="1"/>
        <v>291.8</v>
      </c>
      <c r="Z45" s="22">
        <f>Inputs!$B$38</f>
        <v>350</v>
      </c>
      <c r="AA45" s="22">
        <f t="shared" si="2"/>
        <v>31.69950467</v>
      </c>
      <c r="AB45" s="15">
        <v>0.0</v>
      </c>
    </row>
    <row r="46" ht="15.75" customHeight="1">
      <c r="A46" s="23">
        <v>0.75</v>
      </c>
      <c r="B46" s="40">
        <f t="shared" si="4"/>
        <v>0.01308996939</v>
      </c>
      <c r="C46" s="29">
        <f>MAX(Inputs!$C$68*COS($B46)+Inputs!$B$68*ABS(SIN($B46)),Inputs!$C$69*COS($B46)+Inputs!$B$69*ABS(SIN($B46)),Inputs!$C$70*COS($B46)+Inputs!$B$70*ABS(SIN($B46)),Inputs!$C$71*COS($B46)+Inputs!$B$71*ABS(SIN($B46)),Inputs!$C$72*COS($B46)+Inputs!$B$72*ABS(SIN($B46)))</f>
        <v>89.67775946</v>
      </c>
      <c r="D46" s="71">
        <f>IF(C46&lt;=Inputs!$B$38,1,0)</f>
        <v>1</v>
      </c>
      <c r="E46" s="29">
        <f>Inputs!$B$11*COS(($B46))-Inputs!$B$7*SIN(($B46))</f>
        <v>98.46470698</v>
      </c>
      <c r="F46" s="29">
        <f>Inputs!$B$11*SIN(($B46))+Inputs!$B$7*COS(($B46))</f>
        <v>-198.7281623</v>
      </c>
      <c r="G46" s="29">
        <f>SQRT((E46-Inputs!$B$5)^2+(F46-Inputs!$B$6)^2)</f>
        <v>334.9648638</v>
      </c>
      <c r="H46" s="29">
        <f>MAX(MAX(Inputs!$B$5,(Inputs!$B$5+(E46-Inputs!$B$5)*MIN(1,$B$16/G46)))+$B$7/2,MAX((Inputs!$B$5+(E46-Inputs!$B$5)*MIN(1,$B$16/G46)),E46)+Inputs!$B$41)</f>
        <v>291.8</v>
      </c>
      <c r="I46" s="29">
        <f>MIN(IF(OR(Inputs!$C$68=0,((((Inputs!$C$68*COS(($B46))+Inputs!$B$68*SIN(($B46)))-Inputs!$B$5)*(E46-Inputs!$B$5)+((Inputs!$C$68*SIN(($B46))-Inputs!$B$68*COS(($B46)))-Inputs!$B$6)*(F46-Inputs!$B$6))/G46)&lt;0,((((Inputs!$C$68*COS(($B46))+Inputs!$B$68*SIN(($B46)))-Inputs!$B$5)*(E46-Inputs!$B$5)+((Inputs!$C$68*SIN(($B46))-Inputs!$B$68*COS(($B46)))-Inputs!$B$6)*(F46-Inputs!$B$6))/G46)&gt;G46-Inputs!$B$40),999,(ABS((E46-Inputs!$B$5)*((Inputs!$C$68*SIN(($B46))-Inputs!$B$68*COS(($B46)))-Inputs!$B$6)-(F46-Inputs!$B$6)*((Inputs!$C$68*COS(($B46))+Inputs!$B$68*SIN(($B46)))-Inputs!$B$5))/G46)-IF(((((Inputs!$C$68*COS(($B46))+Inputs!$B$68*SIN(($B46)))-Inputs!$B$5)*(E46-Inputs!$B$5)+((Inputs!$C$68*SIN(($B46))-Inputs!$B$68*COS(($B46)))-Inputs!$B$6)*(F46-Inputs!$B$6))/G46)&lt;$B$16,$B$7/2,$B$8/2)-Inputs!$B$39),IF(OR(Inputs!$C$69=0,((((Inputs!$C$69*COS(($B46))+Inputs!$B$69*SIN(($B46)))-Inputs!$B$5)*(E46-Inputs!$B$5)+((Inputs!$C$69*SIN(($B46))-Inputs!$B$69*COS(($B46)))-Inputs!$B$6)*(F46-Inputs!$B$6))/G46)&lt;0,((((Inputs!$C$69*COS(($B46))+Inputs!$B$69*SIN(($B46)))-Inputs!$B$5)*(E46-Inputs!$B$5)+((Inputs!$C$69*SIN(($B46))-Inputs!$B$69*COS(($B46)))-Inputs!$B$6)*(F46-Inputs!$B$6))/G46)&gt;G46-Inputs!$B$40),999,(ABS((E46-Inputs!$B$5)*((Inputs!$C$69*SIN(($B46))-Inputs!$B$69*COS(($B46)))-Inputs!$B$6)-(F46-Inputs!$B$6)*((Inputs!$C$69*COS(($B46))+Inputs!$B$69*SIN(($B46)))-Inputs!$B$5))/G46)-IF(((((Inputs!$C$69*COS(($B46))+Inputs!$B$69*SIN(($B46)))-Inputs!$B$5)*(E46-Inputs!$B$5)+((Inputs!$C$69*SIN(($B46))-Inputs!$B$69*COS(($B46)))-Inputs!$B$6)*(F46-Inputs!$B$6))/G46)&lt;$B$16,$B$7/2,$B$8/2)-Inputs!$B$39),IF(OR(Inputs!$C$70=0,((((Inputs!$C$70*COS(($B46))+Inputs!$B$70*SIN(($B46)))-Inputs!$B$5)*(E46-Inputs!$B$5)+((Inputs!$C$70*SIN(($B46))-Inputs!$B$70*COS(($B46)))-Inputs!$B$6)*(F46-Inputs!$B$6))/G46)&lt;0,((((Inputs!$C$70*COS(($B46))+Inputs!$B$70*SIN(($B46)))-Inputs!$B$5)*(E46-Inputs!$B$5)+((Inputs!$C$70*SIN(($B46))-Inputs!$B$70*COS(($B46)))-Inputs!$B$6)*(F46-Inputs!$B$6))/G46)&gt;G46-Inputs!$B$40),999,(ABS((E46-Inputs!$B$5)*((Inputs!$C$70*SIN(($B46))-Inputs!$B$70*COS(($B46)))-Inputs!$B$6)-(F46-Inputs!$B$6)*((Inputs!$C$70*COS(($B46))+Inputs!$B$70*SIN(($B46)))-Inputs!$B$5))/G46)-IF(((((Inputs!$C$70*COS(($B46))+Inputs!$B$70*SIN(($B46)))-Inputs!$B$5)*(E46-Inputs!$B$5)+((Inputs!$C$70*SIN(($B46))-Inputs!$B$70*COS(($B46)))-Inputs!$B$6)*(F46-Inputs!$B$6))/G46)&lt;$B$16,$B$7/2,$B$8/2)-Inputs!$B$39),IF(OR(Inputs!$C$71=0,((((Inputs!$C$71*COS(($B46))+Inputs!$B$71*SIN(($B46)))-Inputs!$B$5)*(E46-Inputs!$B$5)+((Inputs!$C$71*SIN(($B46))-Inputs!$B$71*COS(($B46)))-Inputs!$B$6)*(F46-Inputs!$B$6))/G46)&lt;0,((((Inputs!$C$71*COS(($B46))+Inputs!$B$71*SIN(($B46)))-Inputs!$B$5)*(E46-Inputs!$B$5)+((Inputs!$C$71*SIN(($B46))-Inputs!$B$71*COS(($B46)))-Inputs!$B$6)*(F46-Inputs!$B$6))/G46)&gt;G46-Inputs!$B$40),999,(ABS((E46-Inputs!$B$5)*((Inputs!$C$71*SIN(($B46))-Inputs!$B$71*COS(($B46)))-Inputs!$B$6)-(F46-Inputs!$B$6)*((Inputs!$C$71*COS(($B46))+Inputs!$B$71*SIN(($B46)))-Inputs!$B$5))/G46)-IF(((((Inputs!$C$71*COS(($B46))+Inputs!$B$71*SIN(($B46)))-Inputs!$B$5)*(E46-Inputs!$B$5)+((Inputs!$C$71*SIN(($B46))-Inputs!$B$71*COS(($B46)))-Inputs!$B$6)*(F46-Inputs!$B$6))/G46)&lt;$B$16,$B$7/2,$B$8/2)-Inputs!$B$39),IF(OR(Inputs!$C$72=0,((((Inputs!$C$72*COS(($B46))+Inputs!$B$72*SIN(($B46)))-Inputs!$B$5)*(E46-Inputs!$B$5)+((Inputs!$C$72*SIN(($B46))-Inputs!$B$72*COS(($B46)))-Inputs!$B$6)*(F46-Inputs!$B$6))/G46)&lt;0,((((Inputs!$C$72*COS(($B46))+Inputs!$B$72*SIN(($B46)))-Inputs!$B$5)*(E46-Inputs!$B$5)+((Inputs!$C$72*SIN(($B46))-Inputs!$B$72*COS(($B46)))-Inputs!$B$6)*(F46-Inputs!$B$6))/G46)&gt;G46-Inputs!$B$40),999,(ABS((E46-Inputs!$B$5)*((Inputs!$C$72*SIN(($B46))-Inputs!$B$72*COS(($B46)))-Inputs!$B$6)-(F46-Inputs!$B$6)*((Inputs!$C$72*COS(($B46))+Inputs!$B$72*SIN(($B46)))-Inputs!$B$5))/G46)-IF(((((Inputs!$C$72*COS(($B46))+Inputs!$B$72*SIN(($B46)))-Inputs!$B$5)*(E46-Inputs!$B$5)+((Inputs!$C$72*SIN(($B46))-Inputs!$B$72*COS(($B46)))-Inputs!$B$6)*(F46-Inputs!$B$6))/G46)&lt;$B$16,$B$7/2,$B$8/2)-Inputs!$B$39))</f>
        <v>26.32458427</v>
      </c>
      <c r="J46" s="76">
        <f>IF(AND(G46&gt;=$B$14,G46&lt;=$B$15,H46&lt;=Inputs!$B$38,I46&gt;=0,$D46=1),1,0)</f>
        <v>1</v>
      </c>
      <c r="K46" s="29">
        <f>Inputs!$B$11*COS((-$B46))-Inputs!$B$7*SIN((-$B46))</f>
        <v>93.22886876</v>
      </c>
      <c r="L46" s="29">
        <f>Inputs!$B$11*SIN((-$B46))+Inputs!$B$7*COS((-$B46))</f>
        <v>-201.2375687</v>
      </c>
      <c r="M46" s="29">
        <f>SQRT((K46-Inputs!$B$5)^2+(L46-Inputs!$B$6)^2)</f>
        <v>339.5898414</v>
      </c>
      <c r="N46" s="29">
        <f>MAX(MAX(Inputs!$B$5,(Inputs!$B$5+(K46-Inputs!$B$5)*MIN(1,$B$16/M46)))+$B$7/2,MAX((Inputs!$B$5+(K46-Inputs!$B$5)*MIN(1,$B$16/M46)),K46)+Inputs!$B$41)</f>
        <v>291.8</v>
      </c>
      <c r="O46" s="29">
        <f>MIN(IF(OR(Inputs!$C$68=0,((((Inputs!$C$68*COS((-$B46))+Inputs!$B$68*SIN((-$B46)))-Inputs!$B$5)*(K46-Inputs!$B$5)+((Inputs!$C$68*SIN((-$B46))-Inputs!$B$68*COS((-$B46)))-Inputs!$B$6)*(L46-Inputs!$B$6))/M46)&lt;0,((((Inputs!$C$68*COS((-$B46))+Inputs!$B$68*SIN((-$B46)))-Inputs!$B$5)*(K46-Inputs!$B$5)+((Inputs!$C$68*SIN((-$B46))-Inputs!$B$68*COS((-$B46)))-Inputs!$B$6)*(L46-Inputs!$B$6))/M46)&gt;M46-Inputs!$B$40),999,(ABS((K46-Inputs!$B$5)*((Inputs!$C$68*SIN((-$B46))-Inputs!$B$68*COS((-$B46)))-Inputs!$B$6)-(L46-Inputs!$B$6)*((Inputs!$C$68*COS((-$B46))+Inputs!$B$68*SIN((-$B46)))-Inputs!$B$5))/M46)-IF(((((Inputs!$C$68*COS((-$B46))+Inputs!$B$68*SIN((-$B46)))-Inputs!$B$5)*(K46-Inputs!$B$5)+((Inputs!$C$68*SIN((-$B46))-Inputs!$B$68*COS((-$B46)))-Inputs!$B$6)*(L46-Inputs!$B$6))/M46)&lt;$B$16,$B$7/2,$B$8/2)-Inputs!$B$39),IF(OR(Inputs!$C$69=0,((((Inputs!$C$69*COS((-$B46))+Inputs!$B$69*SIN((-$B46)))-Inputs!$B$5)*(K46-Inputs!$B$5)+((Inputs!$C$69*SIN((-$B46))-Inputs!$B$69*COS((-$B46)))-Inputs!$B$6)*(L46-Inputs!$B$6))/M46)&lt;0,((((Inputs!$C$69*COS((-$B46))+Inputs!$B$69*SIN((-$B46)))-Inputs!$B$5)*(K46-Inputs!$B$5)+((Inputs!$C$69*SIN((-$B46))-Inputs!$B$69*COS((-$B46)))-Inputs!$B$6)*(L46-Inputs!$B$6))/M46)&gt;M46-Inputs!$B$40),999,(ABS((K46-Inputs!$B$5)*((Inputs!$C$69*SIN((-$B46))-Inputs!$B$69*COS((-$B46)))-Inputs!$B$6)-(L46-Inputs!$B$6)*((Inputs!$C$69*COS((-$B46))+Inputs!$B$69*SIN((-$B46)))-Inputs!$B$5))/M46)-IF(((((Inputs!$C$69*COS((-$B46))+Inputs!$B$69*SIN((-$B46)))-Inputs!$B$5)*(K46-Inputs!$B$5)+((Inputs!$C$69*SIN((-$B46))-Inputs!$B$69*COS((-$B46)))-Inputs!$B$6)*(L46-Inputs!$B$6))/M46)&lt;$B$16,$B$7/2,$B$8/2)-Inputs!$B$39),IF(OR(Inputs!$C$70=0,((((Inputs!$C$70*COS((-$B46))+Inputs!$B$70*SIN((-$B46)))-Inputs!$B$5)*(K46-Inputs!$B$5)+((Inputs!$C$70*SIN((-$B46))-Inputs!$B$70*COS((-$B46)))-Inputs!$B$6)*(L46-Inputs!$B$6))/M46)&lt;0,((((Inputs!$C$70*COS((-$B46))+Inputs!$B$70*SIN((-$B46)))-Inputs!$B$5)*(K46-Inputs!$B$5)+((Inputs!$C$70*SIN((-$B46))-Inputs!$B$70*COS((-$B46)))-Inputs!$B$6)*(L46-Inputs!$B$6))/M46)&gt;M46-Inputs!$B$40),999,(ABS((K46-Inputs!$B$5)*((Inputs!$C$70*SIN((-$B46))-Inputs!$B$70*COS((-$B46)))-Inputs!$B$6)-(L46-Inputs!$B$6)*((Inputs!$C$70*COS((-$B46))+Inputs!$B$70*SIN((-$B46)))-Inputs!$B$5))/M46)-IF(((((Inputs!$C$70*COS((-$B46))+Inputs!$B$70*SIN((-$B46)))-Inputs!$B$5)*(K46-Inputs!$B$5)+((Inputs!$C$70*SIN((-$B46))-Inputs!$B$70*COS((-$B46)))-Inputs!$B$6)*(L46-Inputs!$B$6))/M46)&lt;$B$16,$B$7/2,$B$8/2)-Inputs!$B$39),IF(OR(Inputs!$C$71=0,((((Inputs!$C$71*COS((-$B46))+Inputs!$B$71*SIN((-$B46)))-Inputs!$B$5)*(K46-Inputs!$B$5)+((Inputs!$C$71*SIN((-$B46))-Inputs!$B$71*COS((-$B46)))-Inputs!$B$6)*(L46-Inputs!$B$6))/M46)&lt;0,((((Inputs!$C$71*COS((-$B46))+Inputs!$B$71*SIN((-$B46)))-Inputs!$B$5)*(K46-Inputs!$B$5)+((Inputs!$C$71*SIN((-$B46))-Inputs!$B$71*COS((-$B46)))-Inputs!$B$6)*(L46-Inputs!$B$6))/M46)&gt;M46-Inputs!$B$40),999,(ABS((K46-Inputs!$B$5)*((Inputs!$C$71*SIN((-$B46))-Inputs!$B$71*COS((-$B46)))-Inputs!$B$6)-(L46-Inputs!$B$6)*((Inputs!$C$71*COS((-$B46))+Inputs!$B$71*SIN((-$B46)))-Inputs!$B$5))/M46)-IF(((((Inputs!$C$71*COS((-$B46))+Inputs!$B$71*SIN((-$B46)))-Inputs!$B$5)*(K46-Inputs!$B$5)+((Inputs!$C$71*SIN((-$B46))-Inputs!$B$71*COS((-$B46)))-Inputs!$B$6)*(L46-Inputs!$B$6))/M46)&lt;$B$16,$B$7/2,$B$8/2)-Inputs!$B$39),IF(OR(Inputs!$C$72=0,((((Inputs!$C$72*COS((-$B46))+Inputs!$B$72*SIN((-$B46)))-Inputs!$B$5)*(K46-Inputs!$B$5)+((Inputs!$C$72*SIN((-$B46))-Inputs!$B$72*COS((-$B46)))-Inputs!$B$6)*(L46-Inputs!$B$6))/M46)&lt;0,((((Inputs!$C$72*COS((-$B46))+Inputs!$B$72*SIN((-$B46)))-Inputs!$B$5)*(K46-Inputs!$B$5)+((Inputs!$C$72*SIN((-$B46))-Inputs!$B$72*COS((-$B46)))-Inputs!$B$6)*(L46-Inputs!$B$6))/M46)&gt;M46-Inputs!$B$40),999,(ABS((K46-Inputs!$B$5)*((Inputs!$C$72*SIN((-$B46))-Inputs!$B$72*COS((-$B46)))-Inputs!$B$6)-(L46-Inputs!$B$6)*((Inputs!$C$72*COS((-$B46))+Inputs!$B$72*SIN((-$B46)))-Inputs!$B$5))/M46)-IF(((((Inputs!$C$72*COS((-$B46))+Inputs!$B$72*SIN((-$B46)))-Inputs!$B$5)*(K46-Inputs!$B$5)+((Inputs!$C$72*SIN((-$B46))-Inputs!$B$72*COS((-$B46)))-Inputs!$B$6)*(L46-Inputs!$B$6))/M46)&lt;$B$16,$B$7/2,$B$8/2)-Inputs!$B$39))</f>
        <v>24.41068952</v>
      </c>
      <c r="P46" s="76">
        <f>IF(AND(M46&gt;=$B$14,M46&lt;=$B$15,N46&lt;=Inputs!$B$38,O46&gt;=0,$D46=1),1,0)</f>
        <v>1</v>
      </c>
      <c r="X46" s="15">
        <v>5.5</v>
      </c>
      <c r="Y46" s="22">
        <f t="shared" si="1"/>
        <v>291.8</v>
      </c>
      <c r="Z46" s="22">
        <f>Inputs!$B$38</f>
        <v>350</v>
      </c>
      <c r="AA46" s="22">
        <f t="shared" si="2"/>
        <v>32.32702936</v>
      </c>
      <c r="AB46" s="15">
        <v>0.0</v>
      </c>
    </row>
    <row r="47" ht="15.75" customHeight="1">
      <c r="A47" s="23">
        <v>1.0</v>
      </c>
      <c r="B47" s="40">
        <f t="shared" si="4"/>
        <v>0.01745329252</v>
      </c>
      <c r="C47" s="29">
        <f>MAX(Inputs!$C$68*COS($B47)+Inputs!$B$68*ABS(SIN($B47)),Inputs!$C$69*COS($B47)+Inputs!$B$69*ABS(SIN($B47)),Inputs!$C$70*COS($B47)+Inputs!$B$70*ABS(SIN($B47)),Inputs!$C$71*COS($B47)+Inputs!$B$71*ABS(SIN($B47)),Inputs!$C$72*COS($B47)+Inputs!$B$72*ABS(SIN($B47)))</f>
        <v>89.93360449</v>
      </c>
      <c r="D47" s="71">
        <f>IF(C47&lt;=Inputs!$B$38,1,0)</f>
        <v>1</v>
      </c>
      <c r="E47" s="29">
        <f>Inputs!$B$11*COS(($B47))-Inputs!$B$7*SIN(($B47))</f>
        <v>99.33088211</v>
      </c>
      <c r="F47" s="29">
        <f>Inputs!$B$11*SIN(($B47))+Inputs!$B$7*COS(($B47))</f>
        <v>-198.2966386</v>
      </c>
      <c r="G47" s="29">
        <f>SQRT((E47-Inputs!$B$5)^2+(F47-Inputs!$B$6)^2)</f>
        <v>334.1886708</v>
      </c>
      <c r="H47" s="29">
        <f>MAX(MAX(Inputs!$B$5,(Inputs!$B$5+(E47-Inputs!$B$5)*MIN(1,$B$16/G47)))+$B$7/2,MAX((Inputs!$B$5+(E47-Inputs!$B$5)*MIN(1,$B$16/G47)),E47)+Inputs!$B$41)</f>
        <v>291.8</v>
      </c>
      <c r="I47" s="29">
        <f>MIN(IF(OR(Inputs!$C$68=0,((((Inputs!$C$68*COS(($B47))+Inputs!$B$68*SIN(($B47)))-Inputs!$B$5)*(E47-Inputs!$B$5)+((Inputs!$C$68*SIN(($B47))-Inputs!$B$68*COS(($B47)))-Inputs!$B$6)*(F47-Inputs!$B$6))/G47)&lt;0,((((Inputs!$C$68*COS(($B47))+Inputs!$B$68*SIN(($B47)))-Inputs!$B$5)*(E47-Inputs!$B$5)+((Inputs!$C$68*SIN(($B47))-Inputs!$B$68*COS(($B47)))-Inputs!$B$6)*(F47-Inputs!$B$6))/G47)&gt;G47-Inputs!$B$40),999,(ABS((E47-Inputs!$B$5)*((Inputs!$C$68*SIN(($B47))-Inputs!$B$68*COS(($B47)))-Inputs!$B$6)-(F47-Inputs!$B$6)*((Inputs!$C$68*COS(($B47))+Inputs!$B$68*SIN(($B47)))-Inputs!$B$5))/G47)-IF(((((Inputs!$C$68*COS(($B47))+Inputs!$B$68*SIN(($B47)))-Inputs!$B$5)*(E47-Inputs!$B$5)+((Inputs!$C$68*SIN(($B47))-Inputs!$B$68*COS(($B47)))-Inputs!$B$6)*(F47-Inputs!$B$6))/G47)&lt;$B$16,$B$7/2,$B$8/2)-Inputs!$B$39),IF(OR(Inputs!$C$69=0,((((Inputs!$C$69*COS(($B47))+Inputs!$B$69*SIN(($B47)))-Inputs!$B$5)*(E47-Inputs!$B$5)+((Inputs!$C$69*SIN(($B47))-Inputs!$B$69*COS(($B47)))-Inputs!$B$6)*(F47-Inputs!$B$6))/G47)&lt;0,((((Inputs!$C$69*COS(($B47))+Inputs!$B$69*SIN(($B47)))-Inputs!$B$5)*(E47-Inputs!$B$5)+((Inputs!$C$69*SIN(($B47))-Inputs!$B$69*COS(($B47)))-Inputs!$B$6)*(F47-Inputs!$B$6))/G47)&gt;G47-Inputs!$B$40),999,(ABS((E47-Inputs!$B$5)*((Inputs!$C$69*SIN(($B47))-Inputs!$B$69*COS(($B47)))-Inputs!$B$6)-(F47-Inputs!$B$6)*((Inputs!$C$69*COS(($B47))+Inputs!$B$69*SIN(($B47)))-Inputs!$B$5))/G47)-IF(((((Inputs!$C$69*COS(($B47))+Inputs!$B$69*SIN(($B47)))-Inputs!$B$5)*(E47-Inputs!$B$5)+((Inputs!$C$69*SIN(($B47))-Inputs!$B$69*COS(($B47)))-Inputs!$B$6)*(F47-Inputs!$B$6))/G47)&lt;$B$16,$B$7/2,$B$8/2)-Inputs!$B$39),IF(OR(Inputs!$C$70=0,((((Inputs!$C$70*COS(($B47))+Inputs!$B$70*SIN(($B47)))-Inputs!$B$5)*(E47-Inputs!$B$5)+((Inputs!$C$70*SIN(($B47))-Inputs!$B$70*COS(($B47)))-Inputs!$B$6)*(F47-Inputs!$B$6))/G47)&lt;0,((((Inputs!$C$70*COS(($B47))+Inputs!$B$70*SIN(($B47)))-Inputs!$B$5)*(E47-Inputs!$B$5)+((Inputs!$C$70*SIN(($B47))-Inputs!$B$70*COS(($B47)))-Inputs!$B$6)*(F47-Inputs!$B$6))/G47)&gt;G47-Inputs!$B$40),999,(ABS((E47-Inputs!$B$5)*((Inputs!$C$70*SIN(($B47))-Inputs!$B$70*COS(($B47)))-Inputs!$B$6)-(F47-Inputs!$B$6)*((Inputs!$C$70*COS(($B47))+Inputs!$B$70*SIN(($B47)))-Inputs!$B$5))/G47)-IF(((((Inputs!$C$70*COS(($B47))+Inputs!$B$70*SIN(($B47)))-Inputs!$B$5)*(E47-Inputs!$B$5)+((Inputs!$C$70*SIN(($B47))-Inputs!$B$70*COS(($B47)))-Inputs!$B$6)*(F47-Inputs!$B$6))/G47)&lt;$B$16,$B$7/2,$B$8/2)-Inputs!$B$39),IF(OR(Inputs!$C$71=0,((((Inputs!$C$71*COS(($B47))+Inputs!$B$71*SIN(($B47)))-Inputs!$B$5)*(E47-Inputs!$B$5)+((Inputs!$C$71*SIN(($B47))-Inputs!$B$71*COS(($B47)))-Inputs!$B$6)*(F47-Inputs!$B$6))/G47)&lt;0,((((Inputs!$C$71*COS(($B47))+Inputs!$B$71*SIN(($B47)))-Inputs!$B$5)*(E47-Inputs!$B$5)+((Inputs!$C$71*SIN(($B47))-Inputs!$B$71*COS(($B47)))-Inputs!$B$6)*(F47-Inputs!$B$6))/G47)&gt;G47-Inputs!$B$40),999,(ABS((E47-Inputs!$B$5)*((Inputs!$C$71*SIN(($B47))-Inputs!$B$71*COS(($B47)))-Inputs!$B$6)-(F47-Inputs!$B$6)*((Inputs!$C$71*COS(($B47))+Inputs!$B$71*SIN(($B47)))-Inputs!$B$5))/G47)-IF(((((Inputs!$C$71*COS(($B47))+Inputs!$B$71*SIN(($B47)))-Inputs!$B$5)*(E47-Inputs!$B$5)+((Inputs!$C$71*SIN(($B47))-Inputs!$B$71*COS(($B47)))-Inputs!$B$6)*(F47-Inputs!$B$6))/G47)&lt;$B$16,$B$7/2,$B$8/2)-Inputs!$B$39),IF(OR(Inputs!$C$72=0,((((Inputs!$C$72*COS(($B47))+Inputs!$B$72*SIN(($B47)))-Inputs!$B$5)*(E47-Inputs!$B$5)+((Inputs!$C$72*SIN(($B47))-Inputs!$B$72*COS(($B47)))-Inputs!$B$6)*(F47-Inputs!$B$6))/G47)&lt;0,((((Inputs!$C$72*COS(($B47))+Inputs!$B$72*SIN(($B47)))-Inputs!$B$5)*(E47-Inputs!$B$5)+((Inputs!$C$72*SIN(($B47))-Inputs!$B$72*COS(($B47)))-Inputs!$B$6)*(F47-Inputs!$B$6))/G47)&gt;G47-Inputs!$B$40),999,(ABS((E47-Inputs!$B$5)*((Inputs!$C$72*SIN(($B47))-Inputs!$B$72*COS(($B47)))-Inputs!$B$6)-(F47-Inputs!$B$6)*((Inputs!$C$72*COS(($B47))+Inputs!$B$72*SIN(($B47)))-Inputs!$B$5))/G47)-IF(((((Inputs!$C$72*COS(($B47))+Inputs!$B$72*SIN(($B47)))-Inputs!$B$5)*(E47-Inputs!$B$5)+((Inputs!$C$72*SIN(($B47))-Inputs!$B$72*COS(($B47)))-Inputs!$B$6)*(F47-Inputs!$B$6))/G47)&lt;$B$16,$B$7/2,$B$8/2)-Inputs!$B$39))</f>
        <v>26.64273222</v>
      </c>
      <c r="J47" s="76">
        <f>IF(AND(G47&gt;=$B$14,G47&lt;=$B$15,H47&lt;=Inputs!$B$38,I47&gt;=0,$D47=1),1,0)</f>
        <v>1</v>
      </c>
      <c r="K47" s="29">
        <f>Inputs!$B$11*COS((-$B47))-Inputs!$B$7*SIN((-$B47))</f>
        <v>92.34991953</v>
      </c>
      <c r="L47" s="29">
        <f>Inputs!$B$11*SIN((-$B47))+Inputs!$B$7*COS((-$B47))</f>
        <v>-201.6424395</v>
      </c>
      <c r="M47" s="29">
        <f>SQRT((K47-Inputs!$B$5)^2+(L47-Inputs!$B$6)^2)</f>
        <v>340.355269</v>
      </c>
      <c r="N47" s="29">
        <f>MAX(MAX(Inputs!$B$5,(Inputs!$B$5+(K47-Inputs!$B$5)*MIN(1,$B$16/M47)))+$B$7/2,MAX((Inputs!$B$5+(K47-Inputs!$B$5)*MIN(1,$B$16/M47)),K47)+Inputs!$B$41)</f>
        <v>291.8</v>
      </c>
      <c r="O47" s="29">
        <f>MIN(IF(OR(Inputs!$C$68=0,((((Inputs!$C$68*COS((-$B47))+Inputs!$B$68*SIN((-$B47)))-Inputs!$B$5)*(K47-Inputs!$B$5)+((Inputs!$C$68*SIN((-$B47))-Inputs!$B$68*COS((-$B47)))-Inputs!$B$6)*(L47-Inputs!$B$6))/M47)&lt;0,((((Inputs!$C$68*COS((-$B47))+Inputs!$B$68*SIN((-$B47)))-Inputs!$B$5)*(K47-Inputs!$B$5)+((Inputs!$C$68*SIN((-$B47))-Inputs!$B$68*COS((-$B47)))-Inputs!$B$6)*(L47-Inputs!$B$6))/M47)&gt;M47-Inputs!$B$40),999,(ABS((K47-Inputs!$B$5)*((Inputs!$C$68*SIN((-$B47))-Inputs!$B$68*COS((-$B47)))-Inputs!$B$6)-(L47-Inputs!$B$6)*((Inputs!$C$68*COS((-$B47))+Inputs!$B$68*SIN((-$B47)))-Inputs!$B$5))/M47)-IF(((((Inputs!$C$68*COS((-$B47))+Inputs!$B$68*SIN((-$B47)))-Inputs!$B$5)*(K47-Inputs!$B$5)+((Inputs!$C$68*SIN((-$B47))-Inputs!$B$68*COS((-$B47)))-Inputs!$B$6)*(L47-Inputs!$B$6))/M47)&lt;$B$16,$B$7/2,$B$8/2)-Inputs!$B$39),IF(OR(Inputs!$C$69=0,((((Inputs!$C$69*COS((-$B47))+Inputs!$B$69*SIN((-$B47)))-Inputs!$B$5)*(K47-Inputs!$B$5)+((Inputs!$C$69*SIN((-$B47))-Inputs!$B$69*COS((-$B47)))-Inputs!$B$6)*(L47-Inputs!$B$6))/M47)&lt;0,((((Inputs!$C$69*COS((-$B47))+Inputs!$B$69*SIN((-$B47)))-Inputs!$B$5)*(K47-Inputs!$B$5)+((Inputs!$C$69*SIN((-$B47))-Inputs!$B$69*COS((-$B47)))-Inputs!$B$6)*(L47-Inputs!$B$6))/M47)&gt;M47-Inputs!$B$40),999,(ABS((K47-Inputs!$B$5)*((Inputs!$C$69*SIN((-$B47))-Inputs!$B$69*COS((-$B47)))-Inputs!$B$6)-(L47-Inputs!$B$6)*((Inputs!$C$69*COS((-$B47))+Inputs!$B$69*SIN((-$B47)))-Inputs!$B$5))/M47)-IF(((((Inputs!$C$69*COS((-$B47))+Inputs!$B$69*SIN((-$B47)))-Inputs!$B$5)*(K47-Inputs!$B$5)+((Inputs!$C$69*SIN((-$B47))-Inputs!$B$69*COS((-$B47)))-Inputs!$B$6)*(L47-Inputs!$B$6))/M47)&lt;$B$16,$B$7/2,$B$8/2)-Inputs!$B$39),IF(OR(Inputs!$C$70=0,((((Inputs!$C$70*COS((-$B47))+Inputs!$B$70*SIN((-$B47)))-Inputs!$B$5)*(K47-Inputs!$B$5)+((Inputs!$C$70*SIN((-$B47))-Inputs!$B$70*COS((-$B47)))-Inputs!$B$6)*(L47-Inputs!$B$6))/M47)&lt;0,((((Inputs!$C$70*COS((-$B47))+Inputs!$B$70*SIN((-$B47)))-Inputs!$B$5)*(K47-Inputs!$B$5)+((Inputs!$C$70*SIN((-$B47))-Inputs!$B$70*COS((-$B47)))-Inputs!$B$6)*(L47-Inputs!$B$6))/M47)&gt;M47-Inputs!$B$40),999,(ABS((K47-Inputs!$B$5)*((Inputs!$C$70*SIN((-$B47))-Inputs!$B$70*COS((-$B47)))-Inputs!$B$6)-(L47-Inputs!$B$6)*((Inputs!$C$70*COS((-$B47))+Inputs!$B$70*SIN((-$B47)))-Inputs!$B$5))/M47)-IF(((((Inputs!$C$70*COS((-$B47))+Inputs!$B$70*SIN((-$B47)))-Inputs!$B$5)*(K47-Inputs!$B$5)+((Inputs!$C$70*SIN((-$B47))-Inputs!$B$70*COS((-$B47)))-Inputs!$B$6)*(L47-Inputs!$B$6))/M47)&lt;$B$16,$B$7/2,$B$8/2)-Inputs!$B$39),IF(OR(Inputs!$C$71=0,((((Inputs!$C$71*COS((-$B47))+Inputs!$B$71*SIN((-$B47)))-Inputs!$B$5)*(K47-Inputs!$B$5)+((Inputs!$C$71*SIN((-$B47))-Inputs!$B$71*COS((-$B47)))-Inputs!$B$6)*(L47-Inputs!$B$6))/M47)&lt;0,((((Inputs!$C$71*COS((-$B47))+Inputs!$B$71*SIN((-$B47)))-Inputs!$B$5)*(K47-Inputs!$B$5)+((Inputs!$C$71*SIN((-$B47))-Inputs!$B$71*COS((-$B47)))-Inputs!$B$6)*(L47-Inputs!$B$6))/M47)&gt;M47-Inputs!$B$40),999,(ABS((K47-Inputs!$B$5)*((Inputs!$C$71*SIN((-$B47))-Inputs!$B$71*COS((-$B47)))-Inputs!$B$6)-(L47-Inputs!$B$6)*((Inputs!$C$71*COS((-$B47))+Inputs!$B$71*SIN((-$B47)))-Inputs!$B$5))/M47)-IF(((((Inputs!$C$71*COS((-$B47))+Inputs!$B$71*SIN((-$B47)))-Inputs!$B$5)*(K47-Inputs!$B$5)+((Inputs!$C$71*SIN((-$B47))-Inputs!$B$71*COS((-$B47)))-Inputs!$B$6)*(L47-Inputs!$B$6))/M47)&lt;$B$16,$B$7/2,$B$8/2)-Inputs!$B$39),IF(OR(Inputs!$C$72=0,((((Inputs!$C$72*COS((-$B47))+Inputs!$B$72*SIN((-$B47)))-Inputs!$B$5)*(K47-Inputs!$B$5)+((Inputs!$C$72*SIN((-$B47))-Inputs!$B$72*COS((-$B47)))-Inputs!$B$6)*(L47-Inputs!$B$6))/M47)&lt;0,((((Inputs!$C$72*COS((-$B47))+Inputs!$B$72*SIN((-$B47)))-Inputs!$B$5)*(K47-Inputs!$B$5)+((Inputs!$C$72*SIN((-$B47))-Inputs!$B$72*COS((-$B47)))-Inputs!$B$6)*(L47-Inputs!$B$6))/M47)&gt;M47-Inputs!$B$40),999,(ABS((K47-Inputs!$B$5)*((Inputs!$C$72*SIN((-$B47))-Inputs!$B$72*COS((-$B47)))-Inputs!$B$6)-(L47-Inputs!$B$6)*((Inputs!$C$72*COS((-$B47))+Inputs!$B$72*SIN((-$B47)))-Inputs!$B$5))/M47)-IF(((((Inputs!$C$72*COS((-$B47))+Inputs!$B$72*SIN((-$B47)))-Inputs!$B$5)*(K47-Inputs!$B$5)+((Inputs!$C$72*SIN((-$B47))-Inputs!$B$72*COS((-$B47)))-Inputs!$B$6)*(L47-Inputs!$B$6))/M47)&lt;$B$16,$B$7/2,$B$8/2)-Inputs!$B$39))</f>
        <v>24.0908832</v>
      </c>
      <c r="P47" s="76">
        <f>IF(AND(M47&gt;=$B$14,M47&lt;=$B$15,N47&lt;=Inputs!$B$38,O47&gt;=0,$D47=1),1,0)</f>
        <v>1</v>
      </c>
      <c r="X47" s="15">
        <v>6.0</v>
      </c>
      <c r="Y47" s="22">
        <f t="shared" si="1"/>
        <v>291.8</v>
      </c>
      <c r="Z47" s="22">
        <f>Inputs!$B$38</f>
        <v>350</v>
      </c>
      <c r="AA47" s="22">
        <f t="shared" si="2"/>
        <v>32.95350918</v>
      </c>
      <c r="AB47" s="15">
        <v>0.0</v>
      </c>
    </row>
    <row r="48" ht="15.75" customHeight="1">
      <c r="A48" s="23">
        <v>1.25</v>
      </c>
      <c r="B48" s="40">
        <f t="shared" si="4"/>
        <v>0.02181661565</v>
      </c>
      <c r="C48" s="29">
        <f>MAX(Inputs!$C$68*COS($B48)+Inputs!$B$68*ABS(SIN($B48)),Inputs!$C$69*COS($B48)+Inputs!$B$69*ABS(SIN($B48)),Inputs!$C$70*COS($B48)+Inputs!$B$70*ABS(SIN($B48)),Inputs!$C$71*COS($B48)+Inputs!$B$71*ABS(SIN($B48)),Inputs!$C$72*COS($B48)+Inputs!$B$72*ABS(SIN($B48)))</f>
        <v>90.18773731</v>
      </c>
      <c r="D48" s="71">
        <f>IF(C48&lt;=Inputs!$B$38,1,0)</f>
        <v>1</v>
      </c>
      <c r="E48" s="29">
        <f>Inputs!$B$11*COS(($B48))-Inputs!$B$7*SIN(($B48))</f>
        <v>100.1951661</v>
      </c>
      <c r="F48" s="29">
        <f>Inputs!$B$11*SIN(($B48))+Inputs!$B$7*COS(($B48))</f>
        <v>-197.8613396</v>
      </c>
      <c r="G48" s="29">
        <f>SQRT((E48-Inputs!$B$5)^2+(F48-Inputs!$B$6)^2)</f>
        <v>333.4109565</v>
      </c>
      <c r="H48" s="29">
        <f>MAX(MAX(Inputs!$B$5,(Inputs!$B$5+(E48-Inputs!$B$5)*MIN(1,$B$16/G48)))+$B$7/2,MAX((Inputs!$B$5+(E48-Inputs!$B$5)*MIN(1,$B$16/G48)),E48)+Inputs!$B$41)</f>
        <v>291.8</v>
      </c>
      <c r="I48" s="29">
        <f>MIN(IF(OR(Inputs!$C$68=0,((((Inputs!$C$68*COS(($B48))+Inputs!$B$68*SIN(($B48)))-Inputs!$B$5)*(E48-Inputs!$B$5)+((Inputs!$C$68*SIN(($B48))-Inputs!$B$68*COS(($B48)))-Inputs!$B$6)*(F48-Inputs!$B$6))/G48)&lt;0,((((Inputs!$C$68*COS(($B48))+Inputs!$B$68*SIN(($B48)))-Inputs!$B$5)*(E48-Inputs!$B$5)+((Inputs!$C$68*SIN(($B48))-Inputs!$B$68*COS(($B48)))-Inputs!$B$6)*(F48-Inputs!$B$6))/G48)&gt;G48-Inputs!$B$40),999,(ABS((E48-Inputs!$B$5)*((Inputs!$C$68*SIN(($B48))-Inputs!$B$68*COS(($B48)))-Inputs!$B$6)-(F48-Inputs!$B$6)*((Inputs!$C$68*COS(($B48))+Inputs!$B$68*SIN(($B48)))-Inputs!$B$5))/G48)-IF(((((Inputs!$C$68*COS(($B48))+Inputs!$B$68*SIN(($B48)))-Inputs!$B$5)*(E48-Inputs!$B$5)+((Inputs!$C$68*SIN(($B48))-Inputs!$B$68*COS(($B48)))-Inputs!$B$6)*(F48-Inputs!$B$6))/G48)&lt;$B$16,$B$7/2,$B$8/2)-Inputs!$B$39),IF(OR(Inputs!$C$69=0,((((Inputs!$C$69*COS(($B48))+Inputs!$B$69*SIN(($B48)))-Inputs!$B$5)*(E48-Inputs!$B$5)+((Inputs!$C$69*SIN(($B48))-Inputs!$B$69*COS(($B48)))-Inputs!$B$6)*(F48-Inputs!$B$6))/G48)&lt;0,((((Inputs!$C$69*COS(($B48))+Inputs!$B$69*SIN(($B48)))-Inputs!$B$5)*(E48-Inputs!$B$5)+((Inputs!$C$69*SIN(($B48))-Inputs!$B$69*COS(($B48)))-Inputs!$B$6)*(F48-Inputs!$B$6))/G48)&gt;G48-Inputs!$B$40),999,(ABS((E48-Inputs!$B$5)*((Inputs!$C$69*SIN(($B48))-Inputs!$B$69*COS(($B48)))-Inputs!$B$6)-(F48-Inputs!$B$6)*((Inputs!$C$69*COS(($B48))+Inputs!$B$69*SIN(($B48)))-Inputs!$B$5))/G48)-IF(((((Inputs!$C$69*COS(($B48))+Inputs!$B$69*SIN(($B48)))-Inputs!$B$5)*(E48-Inputs!$B$5)+((Inputs!$C$69*SIN(($B48))-Inputs!$B$69*COS(($B48)))-Inputs!$B$6)*(F48-Inputs!$B$6))/G48)&lt;$B$16,$B$7/2,$B$8/2)-Inputs!$B$39),IF(OR(Inputs!$C$70=0,((((Inputs!$C$70*COS(($B48))+Inputs!$B$70*SIN(($B48)))-Inputs!$B$5)*(E48-Inputs!$B$5)+((Inputs!$C$70*SIN(($B48))-Inputs!$B$70*COS(($B48)))-Inputs!$B$6)*(F48-Inputs!$B$6))/G48)&lt;0,((((Inputs!$C$70*COS(($B48))+Inputs!$B$70*SIN(($B48)))-Inputs!$B$5)*(E48-Inputs!$B$5)+((Inputs!$C$70*SIN(($B48))-Inputs!$B$70*COS(($B48)))-Inputs!$B$6)*(F48-Inputs!$B$6))/G48)&gt;G48-Inputs!$B$40),999,(ABS((E48-Inputs!$B$5)*((Inputs!$C$70*SIN(($B48))-Inputs!$B$70*COS(($B48)))-Inputs!$B$6)-(F48-Inputs!$B$6)*((Inputs!$C$70*COS(($B48))+Inputs!$B$70*SIN(($B48)))-Inputs!$B$5))/G48)-IF(((((Inputs!$C$70*COS(($B48))+Inputs!$B$70*SIN(($B48)))-Inputs!$B$5)*(E48-Inputs!$B$5)+((Inputs!$C$70*SIN(($B48))-Inputs!$B$70*COS(($B48)))-Inputs!$B$6)*(F48-Inputs!$B$6))/G48)&lt;$B$16,$B$7/2,$B$8/2)-Inputs!$B$39),IF(OR(Inputs!$C$71=0,((((Inputs!$C$71*COS(($B48))+Inputs!$B$71*SIN(($B48)))-Inputs!$B$5)*(E48-Inputs!$B$5)+((Inputs!$C$71*SIN(($B48))-Inputs!$B$71*COS(($B48)))-Inputs!$B$6)*(F48-Inputs!$B$6))/G48)&lt;0,((((Inputs!$C$71*COS(($B48))+Inputs!$B$71*SIN(($B48)))-Inputs!$B$5)*(E48-Inputs!$B$5)+((Inputs!$C$71*SIN(($B48))-Inputs!$B$71*COS(($B48)))-Inputs!$B$6)*(F48-Inputs!$B$6))/G48)&gt;G48-Inputs!$B$40),999,(ABS((E48-Inputs!$B$5)*((Inputs!$C$71*SIN(($B48))-Inputs!$B$71*COS(($B48)))-Inputs!$B$6)-(F48-Inputs!$B$6)*((Inputs!$C$71*COS(($B48))+Inputs!$B$71*SIN(($B48)))-Inputs!$B$5))/G48)-IF(((((Inputs!$C$71*COS(($B48))+Inputs!$B$71*SIN(($B48)))-Inputs!$B$5)*(E48-Inputs!$B$5)+((Inputs!$C$71*SIN(($B48))-Inputs!$B$71*COS(($B48)))-Inputs!$B$6)*(F48-Inputs!$B$6))/G48)&lt;$B$16,$B$7/2,$B$8/2)-Inputs!$B$39),IF(OR(Inputs!$C$72=0,((((Inputs!$C$72*COS(($B48))+Inputs!$B$72*SIN(($B48)))-Inputs!$B$5)*(E48-Inputs!$B$5)+((Inputs!$C$72*SIN(($B48))-Inputs!$B$72*COS(($B48)))-Inputs!$B$6)*(F48-Inputs!$B$6))/G48)&lt;0,((((Inputs!$C$72*COS(($B48))+Inputs!$B$72*SIN(($B48)))-Inputs!$B$5)*(E48-Inputs!$B$5)+((Inputs!$C$72*SIN(($B48))-Inputs!$B$72*COS(($B48)))-Inputs!$B$6)*(F48-Inputs!$B$6))/G48)&gt;G48-Inputs!$B$40),999,(ABS((E48-Inputs!$B$5)*((Inputs!$C$72*SIN(($B48))-Inputs!$B$72*COS(($B48)))-Inputs!$B$6)-(F48-Inputs!$B$6)*((Inputs!$C$72*COS(($B48))+Inputs!$B$72*SIN(($B48)))-Inputs!$B$5))/G48)-IF(((((Inputs!$C$72*COS(($B48))+Inputs!$B$72*SIN(($B48)))-Inputs!$B$5)*(E48-Inputs!$B$5)+((Inputs!$C$72*SIN(($B48))-Inputs!$B$72*COS(($B48)))-Inputs!$B$6)*(F48-Inputs!$B$6))/G48)&lt;$B$16,$B$7/2,$B$8/2)-Inputs!$B$39))</f>
        <v>26.96063873</v>
      </c>
      <c r="J48" s="76">
        <f>IF(AND(G48&gt;=$B$14,G48&lt;=$B$15,H48&lt;=Inputs!$B$38,I48&gt;=0,$D48=1),1,0)</f>
        <v>1</v>
      </c>
      <c r="K48" s="29">
        <f>Inputs!$B$11*COS((-$B48))-Inputs!$B$7*SIN((-$B48))</f>
        <v>91.4692121</v>
      </c>
      <c r="L48" s="29">
        <f>Inputs!$B$11*SIN((-$B48))+Inputs!$B$7*COS((-$B48))</f>
        <v>-202.0434712</v>
      </c>
      <c r="M48" s="29">
        <f>SQRT((K48-Inputs!$B$5)^2+(L48-Inputs!$B$6)^2)</f>
        <v>341.1191423</v>
      </c>
      <c r="N48" s="29">
        <f>MAX(MAX(Inputs!$B$5,(Inputs!$B$5+(K48-Inputs!$B$5)*MIN(1,$B$16/M48)))+$B$7/2,MAX((Inputs!$B$5+(K48-Inputs!$B$5)*MIN(1,$B$16/M48)),K48)+Inputs!$B$41)</f>
        <v>291.8</v>
      </c>
      <c r="O48" s="29">
        <f>MIN(IF(OR(Inputs!$C$68=0,((((Inputs!$C$68*COS((-$B48))+Inputs!$B$68*SIN((-$B48)))-Inputs!$B$5)*(K48-Inputs!$B$5)+((Inputs!$C$68*SIN((-$B48))-Inputs!$B$68*COS((-$B48)))-Inputs!$B$6)*(L48-Inputs!$B$6))/M48)&lt;0,((((Inputs!$C$68*COS((-$B48))+Inputs!$B$68*SIN((-$B48)))-Inputs!$B$5)*(K48-Inputs!$B$5)+((Inputs!$C$68*SIN((-$B48))-Inputs!$B$68*COS((-$B48)))-Inputs!$B$6)*(L48-Inputs!$B$6))/M48)&gt;M48-Inputs!$B$40),999,(ABS((K48-Inputs!$B$5)*((Inputs!$C$68*SIN((-$B48))-Inputs!$B$68*COS((-$B48)))-Inputs!$B$6)-(L48-Inputs!$B$6)*((Inputs!$C$68*COS((-$B48))+Inputs!$B$68*SIN((-$B48)))-Inputs!$B$5))/M48)-IF(((((Inputs!$C$68*COS((-$B48))+Inputs!$B$68*SIN((-$B48)))-Inputs!$B$5)*(K48-Inputs!$B$5)+((Inputs!$C$68*SIN((-$B48))-Inputs!$B$68*COS((-$B48)))-Inputs!$B$6)*(L48-Inputs!$B$6))/M48)&lt;$B$16,$B$7/2,$B$8/2)-Inputs!$B$39),IF(OR(Inputs!$C$69=0,((((Inputs!$C$69*COS((-$B48))+Inputs!$B$69*SIN((-$B48)))-Inputs!$B$5)*(K48-Inputs!$B$5)+((Inputs!$C$69*SIN((-$B48))-Inputs!$B$69*COS((-$B48)))-Inputs!$B$6)*(L48-Inputs!$B$6))/M48)&lt;0,((((Inputs!$C$69*COS((-$B48))+Inputs!$B$69*SIN((-$B48)))-Inputs!$B$5)*(K48-Inputs!$B$5)+((Inputs!$C$69*SIN((-$B48))-Inputs!$B$69*COS((-$B48)))-Inputs!$B$6)*(L48-Inputs!$B$6))/M48)&gt;M48-Inputs!$B$40),999,(ABS((K48-Inputs!$B$5)*((Inputs!$C$69*SIN((-$B48))-Inputs!$B$69*COS((-$B48)))-Inputs!$B$6)-(L48-Inputs!$B$6)*((Inputs!$C$69*COS((-$B48))+Inputs!$B$69*SIN((-$B48)))-Inputs!$B$5))/M48)-IF(((((Inputs!$C$69*COS((-$B48))+Inputs!$B$69*SIN((-$B48)))-Inputs!$B$5)*(K48-Inputs!$B$5)+((Inputs!$C$69*SIN((-$B48))-Inputs!$B$69*COS((-$B48)))-Inputs!$B$6)*(L48-Inputs!$B$6))/M48)&lt;$B$16,$B$7/2,$B$8/2)-Inputs!$B$39),IF(OR(Inputs!$C$70=0,((((Inputs!$C$70*COS((-$B48))+Inputs!$B$70*SIN((-$B48)))-Inputs!$B$5)*(K48-Inputs!$B$5)+((Inputs!$C$70*SIN((-$B48))-Inputs!$B$70*COS((-$B48)))-Inputs!$B$6)*(L48-Inputs!$B$6))/M48)&lt;0,((((Inputs!$C$70*COS((-$B48))+Inputs!$B$70*SIN((-$B48)))-Inputs!$B$5)*(K48-Inputs!$B$5)+((Inputs!$C$70*SIN((-$B48))-Inputs!$B$70*COS((-$B48)))-Inputs!$B$6)*(L48-Inputs!$B$6))/M48)&gt;M48-Inputs!$B$40),999,(ABS((K48-Inputs!$B$5)*((Inputs!$C$70*SIN((-$B48))-Inputs!$B$70*COS((-$B48)))-Inputs!$B$6)-(L48-Inputs!$B$6)*((Inputs!$C$70*COS((-$B48))+Inputs!$B$70*SIN((-$B48)))-Inputs!$B$5))/M48)-IF(((((Inputs!$C$70*COS((-$B48))+Inputs!$B$70*SIN((-$B48)))-Inputs!$B$5)*(K48-Inputs!$B$5)+((Inputs!$C$70*SIN((-$B48))-Inputs!$B$70*COS((-$B48)))-Inputs!$B$6)*(L48-Inputs!$B$6))/M48)&lt;$B$16,$B$7/2,$B$8/2)-Inputs!$B$39),IF(OR(Inputs!$C$71=0,((((Inputs!$C$71*COS((-$B48))+Inputs!$B$71*SIN((-$B48)))-Inputs!$B$5)*(K48-Inputs!$B$5)+((Inputs!$C$71*SIN((-$B48))-Inputs!$B$71*COS((-$B48)))-Inputs!$B$6)*(L48-Inputs!$B$6))/M48)&lt;0,((((Inputs!$C$71*COS((-$B48))+Inputs!$B$71*SIN((-$B48)))-Inputs!$B$5)*(K48-Inputs!$B$5)+((Inputs!$C$71*SIN((-$B48))-Inputs!$B$71*COS((-$B48)))-Inputs!$B$6)*(L48-Inputs!$B$6))/M48)&gt;M48-Inputs!$B$40),999,(ABS((K48-Inputs!$B$5)*((Inputs!$C$71*SIN((-$B48))-Inputs!$B$71*COS((-$B48)))-Inputs!$B$6)-(L48-Inputs!$B$6)*((Inputs!$C$71*COS((-$B48))+Inputs!$B$71*SIN((-$B48)))-Inputs!$B$5))/M48)-IF(((((Inputs!$C$71*COS((-$B48))+Inputs!$B$71*SIN((-$B48)))-Inputs!$B$5)*(K48-Inputs!$B$5)+((Inputs!$C$71*SIN((-$B48))-Inputs!$B$71*COS((-$B48)))-Inputs!$B$6)*(L48-Inputs!$B$6))/M48)&lt;$B$16,$B$7/2,$B$8/2)-Inputs!$B$39),IF(OR(Inputs!$C$72=0,((((Inputs!$C$72*COS((-$B48))+Inputs!$B$72*SIN((-$B48)))-Inputs!$B$5)*(K48-Inputs!$B$5)+((Inputs!$C$72*SIN((-$B48))-Inputs!$B$72*COS((-$B48)))-Inputs!$B$6)*(L48-Inputs!$B$6))/M48)&lt;0,((((Inputs!$C$72*COS((-$B48))+Inputs!$B$72*SIN((-$B48)))-Inputs!$B$5)*(K48-Inputs!$B$5)+((Inputs!$C$72*SIN((-$B48))-Inputs!$B$72*COS((-$B48)))-Inputs!$B$6)*(L48-Inputs!$B$6))/M48)&gt;M48-Inputs!$B$40),999,(ABS((K48-Inputs!$B$5)*((Inputs!$C$72*SIN((-$B48))-Inputs!$B$72*COS((-$B48)))-Inputs!$B$6)-(L48-Inputs!$B$6)*((Inputs!$C$72*COS((-$B48))+Inputs!$B$72*SIN((-$B48)))-Inputs!$B$5))/M48)-IF(((((Inputs!$C$72*COS((-$B48))+Inputs!$B$72*SIN((-$B48)))-Inputs!$B$5)*(K48-Inputs!$B$5)+((Inputs!$C$72*SIN((-$B48))-Inputs!$B$72*COS((-$B48)))-Inputs!$B$6)*(L48-Inputs!$B$6))/M48)&lt;$B$16,$B$7/2,$B$8/2)-Inputs!$B$39))</f>
        <v>23.77084455</v>
      </c>
      <c r="P48" s="76">
        <f>IF(AND(M48&gt;=$B$14,M48&lt;=$B$15,N48&lt;=Inputs!$B$38,O48&gt;=0,$D48=1),1,0)</f>
        <v>1</v>
      </c>
      <c r="X48" s="15">
        <v>6.5</v>
      </c>
      <c r="Y48" s="22">
        <f t="shared" si="1"/>
        <v>291.8</v>
      </c>
      <c r="Z48" s="22">
        <f>Inputs!$B$38</f>
        <v>350</v>
      </c>
      <c r="AA48" s="22">
        <f t="shared" si="2"/>
        <v>33.57893559</v>
      </c>
      <c r="AB48" s="15">
        <v>0.0</v>
      </c>
    </row>
    <row r="49" ht="15.75" customHeight="1">
      <c r="A49" s="23">
        <v>1.5</v>
      </c>
      <c r="B49" s="40">
        <f t="shared" si="4"/>
        <v>0.02617993878</v>
      </c>
      <c r="C49" s="29">
        <f>MAX(Inputs!$C$68*COS($B49)+Inputs!$B$68*ABS(SIN($B49)),Inputs!$C$69*COS($B49)+Inputs!$B$69*ABS(SIN($B49)),Inputs!$C$70*COS($B49)+Inputs!$B$70*ABS(SIN($B49)),Inputs!$C$71*COS($B49)+Inputs!$B$71*ABS(SIN($B49)),Inputs!$C$72*COS($B49)+Inputs!$B$72*ABS(SIN($B49)))</f>
        <v>90.44015309</v>
      </c>
      <c r="D49" s="71">
        <f>IF(C49&lt;=Inputs!$B$38,1,0)</f>
        <v>1</v>
      </c>
      <c r="E49" s="29">
        <f>Inputs!$B$11*COS(($B49))-Inputs!$B$7*SIN(($B49))</f>
        <v>101.0575425</v>
      </c>
      <c r="F49" s="29">
        <f>Inputs!$B$11*SIN(($B49))+Inputs!$B$7*COS(($B49))</f>
        <v>-197.4222736</v>
      </c>
      <c r="G49" s="29">
        <f>SQRT((E49-Inputs!$B$5)^2+(F49-Inputs!$B$6)^2)</f>
        <v>332.631725</v>
      </c>
      <c r="H49" s="29">
        <f>MAX(MAX(Inputs!$B$5,(Inputs!$B$5+(E49-Inputs!$B$5)*MIN(1,$B$16/G49)))+$B$7/2,MAX((Inputs!$B$5+(E49-Inputs!$B$5)*MIN(1,$B$16/G49)),E49)+Inputs!$B$41)</f>
        <v>291.8</v>
      </c>
      <c r="I49" s="29">
        <f>MIN(IF(OR(Inputs!$C$68=0,((((Inputs!$C$68*COS(($B49))+Inputs!$B$68*SIN(($B49)))-Inputs!$B$5)*(E49-Inputs!$B$5)+((Inputs!$C$68*SIN(($B49))-Inputs!$B$68*COS(($B49)))-Inputs!$B$6)*(F49-Inputs!$B$6))/G49)&lt;0,((((Inputs!$C$68*COS(($B49))+Inputs!$B$68*SIN(($B49)))-Inputs!$B$5)*(E49-Inputs!$B$5)+((Inputs!$C$68*SIN(($B49))-Inputs!$B$68*COS(($B49)))-Inputs!$B$6)*(F49-Inputs!$B$6))/G49)&gt;G49-Inputs!$B$40),999,(ABS((E49-Inputs!$B$5)*((Inputs!$C$68*SIN(($B49))-Inputs!$B$68*COS(($B49)))-Inputs!$B$6)-(F49-Inputs!$B$6)*((Inputs!$C$68*COS(($B49))+Inputs!$B$68*SIN(($B49)))-Inputs!$B$5))/G49)-IF(((((Inputs!$C$68*COS(($B49))+Inputs!$B$68*SIN(($B49)))-Inputs!$B$5)*(E49-Inputs!$B$5)+((Inputs!$C$68*SIN(($B49))-Inputs!$B$68*COS(($B49)))-Inputs!$B$6)*(F49-Inputs!$B$6))/G49)&lt;$B$16,$B$7/2,$B$8/2)-Inputs!$B$39),IF(OR(Inputs!$C$69=0,((((Inputs!$C$69*COS(($B49))+Inputs!$B$69*SIN(($B49)))-Inputs!$B$5)*(E49-Inputs!$B$5)+((Inputs!$C$69*SIN(($B49))-Inputs!$B$69*COS(($B49)))-Inputs!$B$6)*(F49-Inputs!$B$6))/G49)&lt;0,((((Inputs!$C$69*COS(($B49))+Inputs!$B$69*SIN(($B49)))-Inputs!$B$5)*(E49-Inputs!$B$5)+((Inputs!$C$69*SIN(($B49))-Inputs!$B$69*COS(($B49)))-Inputs!$B$6)*(F49-Inputs!$B$6))/G49)&gt;G49-Inputs!$B$40),999,(ABS((E49-Inputs!$B$5)*((Inputs!$C$69*SIN(($B49))-Inputs!$B$69*COS(($B49)))-Inputs!$B$6)-(F49-Inputs!$B$6)*((Inputs!$C$69*COS(($B49))+Inputs!$B$69*SIN(($B49)))-Inputs!$B$5))/G49)-IF(((((Inputs!$C$69*COS(($B49))+Inputs!$B$69*SIN(($B49)))-Inputs!$B$5)*(E49-Inputs!$B$5)+((Inputs!$C$69*SIN(($B49))-Inputs!$B$69*COS(($B49)))-Inputs!$B$6)*(F49-Inputs!$B$6))/G49)&lt;$B$16,$B$7/2,$B$8/2)-Inputs!$B$39),IF(OR(Inputs!$C$70=0,((((Inputs!$C$70*COS(($B49))+Inputs!$B$70*SIN(($B49)))-Inputs!$B$5)*(E49-Inputs!$B$5)+((Inputs!$C$70*SIN(($B49))-Inputs!$B$70*COS(($B49)))-Inputs!$B$6)*(F49-Inputs!$B$6))/G49)&lt;0,((((Inputs!$C$70*COS(($B49))+Inputs!$B$70*SIN(($B49)))-Inputs!$B$5)*(E49-Inputs!$B$5)+((Inputs!$C$70*SIN(($B49))-Inputs!$B$70*COS(($B49)))-Inputs!$B$6)*(F49-Inputs!$B$6))/G49)&gt;G49-Inputs!$B$40),999,(ABS((E49-Inputs!$B$5)*((Inputs!$C$70*SIN(($B49))-Inputs!$B$70*COS(($B49)))-Inputs!$B$6)-(F49-Inputs!$B$6)*((Inputs!$C$70*COS(($B49))+Inputs!$B$70*SIN(($B49)))-Inputs!$B$5))/G49)-IF(((((Inputs!$C$70*COS(($B49))+Inputs!$B$70*SIN(($B49)))-Inputs!$B$5)*(E49-Inputs!$B$5)+((Inputs!$C$70*SIN(($B49))-Inputs!$B$70*COS(($B49)))-Inputs!$B$6)*(F49-Inputs!$B$6))/G49)&lt;$B$16,$B$7/2,$B$8/2)-Inputs!$B$39),IF(OR(Inputs!$C$71=0,((((Inputs!$C$71*COS(($B49))+Inputs!$B$71*SIN(($B49)))-Inputs!$B$5)*(E49-Inputs!$B$5)+((Inputs!$C$71*SIN(($B49))-Inputs!$B$71*COS(($B49)))-Inputs!$B$6)*(F49-Inputs!$B$6))/G49)&lt;0,((((Inputs!$C$71*COS(($B49))+Inputs!$B$71*SIN(($B49)))-Inputs!$B$5)*(E49-Inputs!$B$5)+((Inputs!$C$71*SIN(($B49))-Inputs!$B$71*COS(($B49)))-Inputs!$B$6)*(F49-Inputs!$B$6))/G49)&gt;G49-Inputs!$B$40),999,(ABS((E49-Inputs!$B$5)*((Inputs!$C$71*SIN(($B49))-Inputs!$B$71*COS(($B49)))-Inputs!$B$6)-(F49-Inputs!$B$6)*((Inputs!$C$71*COS(($B49))+Inputs!$B$71*SIN(($B49)))-Inputs!$B$5))/G49)-IF(((((Inputs!$C$71*COS(($B49))+Inputs!$B$71*SIN(($B49)))-Inputs!$B$5)*(E49-Inputs!$B$5)+((Inputs!$C$71*SIN(($B49))-Inputs!$B$71*COS(($B49)))-Inputs!$B$6)*(F49-Inputs!$B$6))/G49)&lt;$B$16,$B$7/2,$B$8/2)-Inputs!$B$39),IF(OR(Inputs!$C$72=0,((((Inputs!$C$72*COS(($B49))+Inputs!$B$72*SIN(($B49)))-Inputs!$B$5)*(E49-Inputs!$B$5)+((Inputs!$C$72*SIN(($B49))-Inputs!$B$72*COS(($B49)))-Inputs!$B$6)*(F49-Inputs!$B$6))/G49)&lt;0,((((Inputs!$C$72*COS(($B49))+Inputs!$B$72*SIN(($B49)))-Inputs!$B$5)*(E49-Inputs!$B$5)+((Inputs!$C$72*SIN(($B49))-Inputs!$B$72*COS(($B49)))-Inputs!$B$6)*(F49-Inputs!$B$6))/G49)&gt;G49-Inputs!$B$40),999,(ABS((E49-Inputs!$B$5)*((Inputs!$C$72*SIN(($B49))-Inputs!$B$72*COS(($B49)))-Inputs!$B$6)-(F49-Inputs!$B$6)*((Inputs!$C$72*COS(($B49))+Inputs!$B$72*SIN(($B49)))-Inputs!$B$5))/G49)-IF(((((Inputs!$C$72*COS(($B49))+Inputs!$B$72*SIN(($B49)))-Inputs!$B$5)*(E49-Inputs!$B$5)+((Inputs!$C$72*SIN(($B49))-Inputs!$B$72*COS(($B49)))-Inputs!$B$6)*(F49-Inputs!$B$6))/G49)&lt;$B$16,$B$7/2,$B$8/2)-Inputs!$B$39))</f>
        <v>27.27830267</v>
      </c>
      <c r="J49" s="76">
        <f>IF(AND(G49&gt;=$B$14,G49&lt;=$B$15,H49&lt;=Inputs!$B$38,I49&gt;=0,$D49=1),1,0)</f>
        <v>1</v>
      </c>
      <c r="K49" s="29">
        <f>Inputs!$B$11*COS((-$B49))-Inputs!$B$7*SIN((-$B49))</f>
        <v>90.58676322</v>
      </c>
      <c r="L49" s="29">
        <f>Inputs!$B$11*SIN((-$B49))+Inputs!$B$7*COS((-$B49))</f>
        <v>-202.4406564</v>
      </c>
      <c r="M49" s="29">
        <f>SQRT((K49-Inputs!$B$5)^2+(L49-Inputs!$B$6)^2)</f>
        <v>341.8814571</v>
      </c>
      <c r="N49" s="29">
        <f>MAX(MAX(Inputs!$B$5,(Inputs!$B$5+(K49-Inputs!$B$5)*MIN(1,$B$16/M49)))+$B$7/2,MAX((Inputs!$B$5+(K49-Inputs!$B$5)*MIN(1,$B$16/M49)),K49)+Inputs!$B$41)</f>
        <v>291.8</v>
      </c>
      <c r="O49" s="29">
        <f>MIN(IF(OR(Inputs!$C$68=0,((((Inputs!$C$68*COS((-$B49))+Inputs!$B$68*SIN((-$B49)))-Inputs!$B$5)*(K49-Inputs!$B$5)+((Inputs!$C$68*SIN((-$B49))-Inputs!$B$68*COS((-$B49)))-Inputs!$B$6)*(L49-Inputs!$B$6))/M49)&lt;0,((((Inputs!$C$68*COS((-$B49))+Inputs!$B$68*SIN((-$B49)))-Inputs!$B$5)*(K49-Inputs!$B$5)+((Inputs!$C$68*SIN((-$B49))-Inputs!$B$68*COS((-$B49)))-Inputs!$B$6)*(L49-Inputs!$B$6))/M49)&gt;M49-Inputs!$B$40),999,(ABS((K49-Inputs!$B$5)*((Inputs!$C$68*SIN((-$B49))-Inputs!$B$68*COS((-$B49)))-Inputs!$B$6)-(L49-Inputs!$B$6)*((Inputs!$C$68*COS((-$B49))+Inputs!$B$68*SIN((-$B49)))-Inputs!$B$5))/M49)-IF(((((Inputs!$C$68*COS((-$B49))+Inputs!$B$68*SIN((-$B49)))-Inputs!$B$5)*(K49-Inputs!$B$5)+((Inputs!$C$68*SIN((-$B49))-Inputs!$B$68*COS((-$B49)))-Inputs!$B$6)*(L49-Inputs!$B$6))/M49)&lt;$B$16,$B$7/2,$B$8/2)-Inputs!$B$39),IF(OR(Inputs!$C$69=0,((((Inputs!$C$69*COS((-$B49))+Inputs!$B$69*SIN((-$B49)))-Inputs!$B$5)*(K49-Inputs!$B$5)+((Inputs!$C$69*SIN((-$B49))-Inputs!$B$69*COS((-$B49)))-Inputs!$B$6)*(L49-Inputs!$B$6))/M49)&lt;0,((((Inputs!$C$69*COS((-$B49))+Inputs!$B$69*SIN((-$B49)))-Inputs!$B$5)*(K49-Inputs!$B$5)+((Inputs!$C$69*SIN((-$B49))-Inputs!$B$69*COS((-$B49)))-Inputs!$B$6)*(L49-Inputs!$B$6))/M49)&gt;M49-Inputs!$B$40),999,(ABS((K49-Inputs!$B$5)*((Inputs!$C$69*SIN((-$B49))-Inputs!$B$69*COS((-$B49)))-Inputs!$B$6)-(L49-Inputs!$B$6)*((Inputs!$C$69*COS((-$B49))+Inputs!$B$69*SIN((-$B49)))-Inputs!$B$5))/M49)-IF(((((Inputs!$C$69*COS((-$B49))+Inputs!$B$69*SIN((-$B49)))-Inputs!$B$5)*(K49-Inputs!$B$5)+((Inputs!$C$69*SIN((-$B49))-Inputs!$B$69*COS((-$B49)))-Inputs!$B$6)*(L49-Inputs!$B$6))/M49)&lt;$B$16,$B$7/2,$B$8/2)-Inputs!$B$39),IF(OR(Inputs!$C$70=0,((((Inputs!$C$70*COS((-$B49))+Inputs!$B$70*SIN((-$B49)))-Inputs!$B$5)*(K49-Inputs!$B$5)+((Inputs!$C$70*SIN((-$B49))-Inputs!$B$70*COS((-$B49)))-Inputs!$B$6)*(L49-Inputs!$B$6))/M49)&lt;0,((((Inputs!$C$70*COS((-$B49))+Inputs!$B$70*SIN((-$B49)))-Inputs!$B$5)*(K49-Inputs!$B$5)+((Inputs!$C$70*SIN((-$B49))-Inputs!$B$70*COS((-$B49)))-Inputs!$B$6)*(L49-Inputs!$B$6))/M49)&gt;M49-Inputs!$B$40),999,(ABS((K49-Inputs!$B$5)*((Inputs!$C$70*SIN((-$B49))-Inputs!$B$70*COS((-$B49)))-Inputs!$B$6)-(L49-Inputs!$B$6)*((Inputs!$C$70*COS((-$B49))+Inputs!$B$70*SIN((-$B49)))-Inputs!$B$5))/M49)-IF(((((Inputs!$C$70*COS((-$B49))+Inputs!$B$70*SIN((-$B49)))-Inputs!$B$5)*(K49-Inputs!$B$5)+((Inputs!$C$70*SIN((-$B49))-Inputs!$B$70*COS((-$B49)))-Inputs!$B$6)*(L49-Inputs!$B$6))/M49)&lt;$B$16,$B$7/2,$B$8/2)-Inputs!$B$39),IF(OR(Inputs!$C$71=0,((((Inputs!$C$71*COS((-$B49))+Inputs!$B$71*SIN((-$B49)))-Inputs!$B$5)*(K49-Inputs!$B$5)+((Inputs!$C$71*SIN((-$B49))-Inputs!$B$71*COS((-$B49)))-Inputs!$B$6)*(L49-Inputs!$B$6))/M49)&lt;0,((((Inputs!$C$71*COS((-$B49))+Inputs!$B$71*SIN((-$B49)))-Inputs!$B$5)*(K49-Inputs!$B$5)+((Inputs!$C$71*SIN((-$B49))-Inputs!$B$71*COS((-$B49)))-Inputs!$B$6)*(L49-Inputs!$B$6))/M49)&gt;M49-Inputs!$B$40),999,(ABS((K49-Inputs!$B$5)*((Inputs!$C$71*SIN((-$B49))-Inputs!$B$71*COS((-$B49)))-Inputs!$B$6)-(L49-Inputs!$B$6)*((Inputs!$C$71*COS((-$B49))+Inputs!$B$71*SIN((-$B49)))-Inputs!$B$5))/M49)-IF(((((Inputs!$C$71*COS((-$B49))+Inputs!$B$71*SIN((-$B49)))-Inputs!$B$5)*(K49-Inputs!$B$5)+((Inputs!$C$71*SIN((-$B49))-Inputs!$B$71*COS((-$B49)))-Inputs!$B$6)*(L49-Inputs!$B$6))/M49)&lt;$B$16,$B$7/2,$B$8/2)-Inputs!$B$39),IF(OR(Inputs!$C$72=0,((((Inputs!$C$72*COS((-$B49))+Inputs!$B$72*SIN((-$B49)))-Inputs!$B$5)*(K49-Inputs!$B$5)+((Inputs!$C$72*SIN((-$B49))-Inputs!$B$72*COS((-$B49)))-Inputs!$B$6)*(L49-Inputs!$B$6))/M49)&lt;0,((((Inputs!$C$72*COS((-$B49))+Inputs!$B$72*SIN((-$B49)))-Inputs!$B$5)*(K49-Inputs!$B$5)+((Inputs!$C$72*SIN((-$B49))-Inputs!$B$72*COS((-$B49)))-Inputs!$B$6)*(L49-Inputs!$B$6))/M49)&gt;M49-Inputs!$B$40),999,(ABS((K49-Inputs!$B$5)*((Inputs!$C$72*SIN((-$B49))-Inputs!$B$72*COS((-$B49)))-Inputs!$B$6)-(L49-Inputs!$B$6)*((Inputs!$C$72*COS((-$B49))+Inputs!$B$72*SIN((-$B49)))-Inputs!$B$5))/M49)-IF(((((Inputs!$C$72*COS((-$B49))+Inputs!$B$72*SIN((-$B49)))-Inputs!$B$5)*(K49-Inputs!$B$5)+((Inputs!$C$72*SIN((-$B49))-Inputs!$B$72*COS((-$B49)))-Inputs!$B$6)*(L49-Inputs!$B$6))/M49)&lt;$B$16,$B$7/2,$B$8/2)-Inputs!$B$39))</f>
        <v>23.45057473</v>
      </c>
      <c r="P49" s="76">
        <f>IF(AND(M49&gt;=$B$14,M49&lt;=$B$15,N49&lt;=Inputs!$B$38,O49&gt;=0,$D49=1),1,0)</f>
        <v>1</v>
      </c>
      <c r="X49" s="15">
        <v>7.0</v>
      </c>
      <c r="Y49" s="22">
        <f t="shared" si="1"/>
        <v>291.8</v>
      </c>
      <c r="Z49" s="22">
        <f>Inputs!$B$38</f>
        <v>350</v>
      </c>
      <c r="AA49" s="22">
        <f t="shared" si="2"/>
        <v>34.2033001</v>
      </c>
      <c r="AB49" s="15">
        <v>0.0</v>
      </c>
    </row>
    <row r="50" ht="15.75" customHeight="1">
      <c r="A50" s="23">
        <v>1.75</v>
      </c>
      <c r="B50" s="40">
        <f t="shared" si="4"/>
        <v>0.03054326191</v>
      </c>
      <c r="C50" s="29">
        <f>MAX(Inputs!$C$68*COS($B50)+Inputs!$B$68*ABS(SIN($B50)),Inputs!$C$69*COS($B50)+Inputs!$B$69*ABS(SIN($B50)),Inputs!$C$70*COS($B50)+Inputs!$B$70*ABS(SIN($B50)),Inputs!$C$71*COS($B50)+Inputs!$B$71*ABS(SIN($B50)),Inputs!$C$72*COS($B50)+Inputs!$B$72*ABS(SIN($B50)))</f>
        <v>91.13818705</v>
      </c>
      <c r="D50" s="71">
        <f>IF(C50&lt;=Inputs!$B$38,1,0)</f>
        <v>1</v>
      </c>
      <c r="E50" s="29">
        <f>Inputs!$B$11*COS(($B50))-Inputs!$B$7*SIN(($B50))</f>
        <v>101.917995</v>
      </c>
      <c r="F50" s="29">
        <f>Inputs!$B$11*SIN(($B50))+Inputs!$B$7*COS(($B50))</f>
        <v>-196.979449</v>
      </c>
      <c r="G50" s="29">
        <f>SQRT((E50-Inputs!$B$5)^2+(F50-Inputs!$B$6)^2)</f>
        <v>331.8509806</v>
      </c>
      <c r="H50" s="29">
        <f>MAX(MAX(Inputs!$B$5,(Inputs!$B$5+(E50-Inputs!$B$5)*MIN(1,$B$16/G50)))+$B$7/2,MAX((Inputs!$B$5+(E50-Inputs!$B$5)*MIN(1,$B$16/G50)),E50)+Inputs!$B$41)</f>
        <v>291.8</v>
      </c>
      <c r="I50" s="29">
        <f>MIN(IF(OR(Inputs!$C$68=0,((((Inputs!$C$68*COS(($B50))+Inputs!$B$68*SIN(($B50)))-Inputs!$B$5)*(E50-Inputs!$B$5)+((Inputs!$C$68*SIN(($B50))-Inputs!$B$68*COS(($B50)))-Inputs!$B$6)*(F50-Inputs!$B$6))/G50)&lt;0,((((Inputs!$C$68*COS(($B50))+Inputs!$B$68*SIN(($B50)))-Inputs!$B$5)*(E50-Inputs!$B$5)+((Inputs!$C$68*SIN(($B50))-Inputs!$B$68*COS(($B50)))-Inputs!$B$6)*(F50-Inputs!$B$6))/G50)&gt;G50-Inputs!$B$40),999,(ABS((E50-Inputs!$B$5)*((Inputs!$C$68*SIN(($B50))-Inputs!$B$68*COS(($B50)))-Inputs!$B$6)-(F50-Inputs!$B$6)*((Inputs!$C$68*COS(($B50))+Inputs!$B$68*SIN(($B50)))-Inputs!$B$5))/G50)-IF(((((Inputs!$C$68*COS(($B50))+Inputs!$B$68*SIN(($B50)))-Inputs!$B$5)*(E50-Inputs!$B$5)+((Inputs!$C$68*SIN(($B50))-Inputs!$B$68*COS(($B50)))-Inputs!$B$6)*(F50-Inputs!$B$6))/G50)&lt;$B$16,$B$7/2,$B$8/2)-Inputs!$B$39),IF(OR(Inputs!$C$69=0,((((Inputs!$C$69*COS(($B50))+Inputs!$B$69*SIN(($B50)))-Inputs!$B$5)*(E50-Inputs!$B$5)+((Inputs!$C$69*SIN(($B50))-Inputs!$B$69*COS(($B50)))-Inputs!$B$6)*(F50-Inputs!$B$6))/G50)&lt;0,((((Inputs!$C$69*COS(($B50))+Inputs!$B$69*SIN(($B50)))-Inputs!$B$5)*(E50-Inputs!$B$5)+((Inputs!$C$69*SIN(($B50))-Inputs!$B$69*COS(($B50)))-Inputs!$B$6)*(F50-Inputs!$B$6))/G50)&gt;G50-Inputs!$B$40),999,(ABS((E50-Inputs!$B$5)*((Inputs!$C$69*SIN(($B50))-Inputs!$B$69*COS(($B50)))-Inputs!$B$6)-(F50-Inputs!$B$6)*((Inputs!$C$69*COS(($B50))+Inputs!$B$69*SIN(($B50)))-Inputs!$B$5))/G50)-IF(((((Inputs!$C$69*COS(($B50))+Inputs!$B$69*SIN(($B50)))-Inputs!$B$5)*(E50-Inputs!$B$5)+((Inputs!$C$69*SIN(($B50))-Inputs!$B$69*COS(($B50)))-Inputs!$B$6)*(F50-Inputs!$B$6))/G50)&lt;$B$16,$B$7/2,$B$8/2)-Inputs!$B$39),IF(OR(Inputs!$C$70=0,((((Inputs!$C$70*COS(($B50))+Inputs!$B$70*SIN(($B50)))-Inputs!$B$5)*(E50-Inputs!$B$5)+((Inputs!$C$70*SIN(($B50))-Inputs!$B$70*COS(($B50)))-Inputs!$B$6)*(F50-Inputs!$B$6))/G50)&lt;0,((((Inputs!$C$70*COS(($B50))+Inputs!$B$70*SIN(($B50)))-Inputs!$B$5)*(E50-Inputs!$B$5)+((Inputs!$C$70*SIN(($B50))-Inputs!$B$70*COS(($B50)))-Inputs!$B$6)*(F50-Inputs!$B$6))/G50)&gt;G50-Inputs!$B$40),999,(ABS((E50-Inputs!$B$5)*((Inputs!$C$70*SIN(($B50))-Inputs!$B$70*COS(($B50)))-Inputs!$B$6)-(F50-Inputs!$B$6)*((Inputs!$C$70*COS(($B50))+Inputs!$B$70*SIN(($B50)))-Inputs!$B$5))/G50)-IF(((((Inputs!$C$70*COS(($B50))+Inputs!$B$70*SIN(($B50)))-Inputs!$B$5)*(E50-Inputs!$B$5)+((Inputs!$C$70*SIN(($B50))-Inputs!$B$70*COS(($B50)))-Inputs!$B$6)*(F50-Inputs!$B$6))/G50)&lt;$B$16,$B$7/2,$B$8/2)-Inputs!$B$39),IF(OR(Inputs!$C$71=0,((((Inputs!$C$71*COS(($B50))+Inputs!$B$71*SIN(($B50)))-Inputs!$B$5)*(E50-Inputs!$B$5)+((Inputs!$C$71*SIN(($B50))-Inputs!$B$71*COS(($B50)))-Inputs!$B$6)*(F50-Inputs!$B$6))/G50)&lt;0,((((Inputs!$C$71*COS(($B50))+Inputs!$B$71*SIN(($B50)))-Inputs!$B$5)*(E50-Inputs!$B$5)+((Inputs!$C$71*SIN(($B50))-Inputs!$B$71*COS(($B50)))-Inputs!$B$6)*(F50-Inputs!$B$6))/G50)&gt;G50-Inputs!$B$40),999,(ABS((E50-Inputs!$B$5)*((Inputs!$C$71*SIN(($B50))-Inputs!$B$71*COS(($B50)))-Inputs!$B$6)-(F50-Inputs!$B$6)*((Inputs!$C$71*COS(($B50))+Inputs!$B$71*SIN(($B50)))-Inputs!$B$5))/G50)-IF(((((Inputs!$C$71*COS(($B50))+Inputs!$B$71*SIN(($B50)))-Inputs!$B$5)*(E50-Inputs!$B$5)+((Inputs!$C$71*SIN(($B50))-Inputs!$B$71*COS(($B50)))-Inputs!$B$6)*(F50-Inputs!$B$6))/G50)&lt;$B$16,$B$7/2,$B$8/2)-Inputs!$B$39),IF(OR(Inputs!$C$72=0,((((Inputs!$C$72*COS(($B50))+Inputs!$B$72*SIN(($B50)))-Inputs!$B$5)*(E50-Inputs!$B$5)+((Inputs!$C$72*SIN(($B50))-Inputs!$B$72*COS(($B50)))-Inputs!$B$6)*(F50-Inputs!$B$6))/G50)&lt;0,((((Inputs!$C$72*COS(($B50))+Inputs!$B$72*SIN(($B50)))-Inputs!$B$5)*(E50-Inputs!$B$5)+((Inputs!$C$72*SIN(($B50))-Inputs!$B$72*COS(($B50)))-Inputs!$B$6)*(F50-Inputs!$B$6))/G50)&gt;G50-Inputs!$B$40),999,(ABS((E50-Inputs!$B$5)*((Inputs!$C$72*SIN(($B50))-Inputs!$B$72*COS(($B50)))-Inputs!$B$6)-(F50-Inputs!$B$6)*((Inputs!$C$72*COS(($B50))+Inputs!$B$72*SIN(($B50)))-Inputs!$B$5))/G50)-IF(((((Inputs!$C$72*COS(($B50))+Inputs!$B$72*SIN(($B50)))-Inputs!$B$5)*(E50-Inputs!$B$5)+((Inputs!$C$72*SIN(($B50))-Inputs!$B$72*COS(($B50)))-Inputs!$B$6)*(F50-Inputs!$B$6))/G50)&lt;$B$16,$B$7/2,$B$8/2)-Inputs!$B$39))</f>
        <v>27.5957229</v>
      </c>
      <c r="J50" s="76">
        <f>IF(AND(G50&gt;=$B$14,G50&lt;=$B$15,H50&lt;=Inputs!$B$38,I50&gt;=0,$D50=1),1,0)</f>
        <v>1</v>
      </c>
      <c r="K50" s="29">
        <f>Inputs!$B$11*COS((-$B50))-Inputs!$B$7*SIN((-$B50))</f>
        <v>89.70258971</v>
      </c>
      <c r="L50" s="29">
        <f>Inputs!$B$11*SIN((-$B50))+Inputs!$B$7*COS((-$B50))</f>
        <v>-202.8339874</v>
      </c>
      <c r="M50" s="29">
        <f>SQRT((K50-Inputs!$B$5)^2+(L50-Inputs!$B$6)^2)</f>
        <v>342.6422094</v>
      </c>
      <c r="N50" s="29">
        <f>MAX(MAX(Inputs!$B$5,(Inputs!$B$5+(K50-Inputs!$B$5)*MIN(1,$B$16/M50)))+$B$7/2,MAX((Inputs!$B$5+(K50-Inputs!$B$5)*MIN(1,$B$16/M50)),K50)+Inputs!$B$41)</f>
        <v>291.8</v>
      </c>
      <c r="O50" s="29">
        <f>MIN(IF(OR(Inputs!$C$68=0,((((Inputs!$C$68*COS((-$B50))+Inputs!$B$68*SIN((-$B50)))-Inputs!$B$5)*(K50-Inputs!$B$5)+((Inputs!$C$68*SIN((-$B50))-Inputs!$B$68*COS((-$B50)))-Inputs!$B$6)*(L50-Inputs!$B$6))/M50)&lt;0,((((Inputs!$C$68*COS((-$B50))+Inputs!$B$68*SIN((-$B50)))-Inputs!$B$5)*(K50-Inputs!$B$5)+((Inputs!$C$68*SIN((-$B50))-Inputs!$B$68*COS((-$B50)))-Inputs!$B$6)*(L50-Inputs!$B$6))/M50)&gt;M50-Inputs!$B$40),999,(ABS((K50-Inputs!$B$5)*((Inputs!$C$68*SIN((-$B50))-Inputs!$B$68*COS((-$B50)))-Inputs!$B$6)-(L50-Inputs!$B$6)*((Inputs!$C$68*COS((-$B50))+Inputs!$B$68*SIN((-$B50)))-Inputs!$B$5))/M50)-IF(((((Inputs!$C$68*COS((-$B50))+Inputs!$B$68*SIN((-$B50)))-Inputs!$B$5)*(K50-Inputs!$B$5)+((Inputs!$C$68*SIN((-$B50))-Inputs!$B$68*COS((-$B50)))-Inputs!$B$6)*(L50-Inputs!$B$6))/M50)&lt;$B$16,$B$7/2,$B$8/2)-Inputs!$B$39),IF(OR(Inputs!$C$69=0,((((Inputs!$C$69*COS((-$B50))+Inputs!$B$69*SIN((-$B50)))-Inputs!$B$5)*(K50-Inputs!$B$5)+((Inputs!$C$69*SIN((-$B50))-Inputs!$B$69*COS((-$B50)))-Inputs!$B$6)*(L50-Inputs!$B$6))/M50)&lt;0,((((Inputs!$C$69*COS((-$B50))+Inputs!$B$69*SIN((-$B50)))-Inputs!$B$5)*(K50-Inputs!$B$5)+((Inputs!$C$69*SIN((-$B50))-Inputs!$B$69*COS((-$B50)))-Inputs!$B$6)*(L50-Inputs!$B$6))/M50)&gt;M50-Inputs!$B$40),999,(ABS((K50-Inputs!$B$5)*((Inputs!$C$69*SIN((-$B50))-Inputs!$B$69*COS((-$B50)))-Inputs!$B$6)-(L50-Inputs!$B$6)*((Inputs!$C$69*COS((-$B50))+Inputs!$B$69*SIN((-$B50)))-Inputs!$B$5))/M50)-IF(((((Inputs!$C$69*COS((-$B50))+Inputs!$B$69*SIN((-$B50)))-Inputs!$B$5)*(K50-Inputs!$B$5)+((Inputs!$C$69*SIN((-$B50))-Inputs!$B$69*COS((-$B50)))-Inputs!$B$6)*(L50-Inputs!$B$6))/M50)&lt;$B$16,$B$7/2,$B$8/2)-Inputs!$B$39),IF(OR(Inputs!$C$70=0,((((Inputs!$C$70*COS((-$B50))+Inputs!$B$70*SIN((-$B50)))-Inputs!$B$5)*(K50-Inputs!$B$5)+((Inputs!$C$70*SIN((-$B50))-Inputs!$B$70*COS((-$B50)))-Inputs!$B$6)*(L50-Inputs!$B$6))/M50)&lt;0,((((Inputs!$C$70*COS((-$B50))+Inputs!$B$70*SIN((-$B50)))-Inputs!$B$5)*(K50-Inputs!$B$5)+((Inputs!$C$70*SIN((-$B50))-Inputs!$B$70*COS((-$B50)))-Inputs!$B$6)*(L50-Inputs!$B$6))/M50)&gt;M50-Inputs!$B$40),999,(ABS((K50-Inputs!$B$5)*((Inputs!$C$70*SIN((-$B50))-Inputs!$B$70*COS((-$B50)))-Inputs!$B$6)-(L50-Inputs!$B$6)*((Inputs!$C$70*COS((-$B50))+Inputs!$B$70*SIN((-$B50)))-Inputs!$B$5))/M50)-IF(((((Inputs!$C$70*COS((-$B50))+Inputs!$B$70*SIN((-$B50)))-Inputs!$B$5)*(K50-Inputs!$B$5)+((Inputs!$C$70*SIN((-$B50))-Inputs!$B$70*COS((-$B50)))-Inputs!$B$6)*(L50-Inputs!$B$6))/M50)&lt;$B$16,$B$7/2,$B$8/2)-Inputs!$B$39),IF(OR(Inputs!$C$71=0,((((Inputs!$C$71*COS((-$B50))+Inputs!$B$71*SIN((-$B50)))-Inputs!$B$5)*(K50-Inputs!$B$5)+((Inputs!$C$71*SIN((-$B50))-Inputs!$B$71*COS((-$B50)))-Inputs!$B$6)*(L50-Inputs!$B$6))/M50)&lt;0,((((Inputs!$C$71*COS((-$B50))+Inputs!$B$71*SIN((-$B50)))-Inputs!$B$5)*(K50-Inputs!$B$5)+((Inputs!$C$71*SIN((-$B50))-Inputs!$B$71*COS((-$B50)))-Inputs!$B$6)*(L50-Inputs!$B$6))/M50)&gt;M50-Inputs!$B$40),999,(ABS((K50-Inputs!$B$5)*((Inputs!$C$71*SIN((-$B50))-Inputs!$B$71*COS((-$B50)))-Inputs!$B$6)-(L50-Inputs!$B$6)*((Inputs!$C$71*COS((-$B50))+Inputs!$B$71*SIN((-$B50)))-Inputs!$B$5))/M50)-IF(((((Inputs!$C$71*COS((-$B50))+Inputs!$B$71*SIN((-$B50)))-Inputs!$B$5)*(K50-Inputs!$B$5)+((Inputs!$C$71*SIN((-$B50))-Inputs!$B$71*COS((-$B50)))-Inputs!$B$6)*(L50-Inputs!$B$6))/M50)&lt;$B$16,$B$7/2,$B$8/2)-Inputs!$B$39),IF(OR(Inputs!$C$72=0,((((Inputs!$C$72*COS((-$B50))+Inputs!$B$72*SIN((-$B50)))-Inputs!$B$5)*(K50-Inputs!$B$5)+((Inputs!$C$72*SIN((-$B50))-Inputs!$B$72*COS((-$B50)))-Inputs!$B$6)*(L50-Inputs!$B$6))/M50)&lt;0,((((Inputs!$C$72*COS((-$B50))+Inputs!$B$72*SIN((-$B50)))-Inputs!$B$5)*(K50-Inputs!$B$5)+((Inputs!$C$72*SIN((-$B50))-Inputs!$B$72*COS((-$B50)))-Inputs!$B$6)*(L50-Inputs!$B$6))/M50)&gt;M50-Inputs!$B$40),999,(ABS((K50-Inputs!$B$5)*((Inputs!$C$72*SIN((-$B50))-Inputs!$B$72*COS((-$B50)))-Inputs!$B$6)-(L50-Inputs!$B$6)*((Inputs!$C$72*COS((-$B50))+Inputs!$B$72*SIN((-$B50)))-Inputs!$B$5))/M50)-IF(((((Inputs!$C$72*COS((-$B50))+Inputs!$B$72*SIN((-$B50)))-Inputs!$B$5)*(K50-Inputs!$B$5)+((Inputs!$C$72*SIN((-$B50))-Inputs!$B$72*COS((-$B50)))-Inputs!$B$6)*(L50-Inputs!$B$6))/M50)&lt;$B$16,$B$7/2,$B$8/2)-Inputs!$B$39))</f>
        <v>23.1300749</v>
      </c>
      <c r="P50" s="76">
        <f>IF(AND(M50&gt;=$B$14,M50&lt;=$B$15,N50&lt;=Inputs!$B$38,O50&gt;=0,$D50=1),1,0)</f>
        <v>1</v>
      </c>
      <c r="X50" s="15">
        <v>7.5</v>
      </c>
      <c r="Y50" s="22">
        <f t="shared" si="1"/>
        <v>291.8</v>
      </c>
      <c r="Z50" s="22">
        <f>Inputs!$B$38</f>
        <v>350</v>
      </c>
      <c r="AA50" s="22">
        <f t="shared" si="2"/>
        <v>34.82659428</v>
      </c>
      <c r="AB50" s="15">
        <v>0.0</v>
      </c>
    </row>
    <row r="51" ht="15.75" customHeight="1">
      <c r="A51" s="23">
        <v>2.0</v>
      </c>
      <c r="B51" s="40">
        <f t="shared" si="4"/>
        <v>0.03490658504</v>
      </c>
      <c r="C51" s="29">
        <f>MAX(Inputs!$C$68*COS($B51)+Inputs!$B$68*ABS(SIN($B51)),Inputs!$C$69*COS($B51)+Inputs!$B$69*ABS(SIN($B51)),Inputs!$C$70*COS($B51)+Inputs!$B$70*ABS(SIN($B51)),Inputs!$C$71*COS($B51)+Inputs!$B$71*ABS(SIN($B51)),Inputs!$C$72*COS($B51)+Inputs!$B$72*ABS(SIN($B51)))</f>
        <v>92.86553688</v>
      </c>
      <c r="D51" s="71">
        <f>IF(C51&lt;=Inputs!$B$38,1,0)</f>
        <v>1</v>
      </c>
      <c r="E51" s="29">
        <f>Inputs!$B$11*COS(($B51))-Inputs!$B$7*SIN(($B51))</f>
        <v>102.7765071</v>
      </c>
      <c r="F51" s="29">
        <f>Inputs!$B$11*SIN(($B51))+Inputs!$B$7*COS(($B51))</f>
        <v>-196.5328741</v>
      </c>
      <c r="G51" s="29">
        <f>SQRT((E51-Inputs!$B$5)^2+(F51-Inputs!$B$6)^2)</f>
        <v>331.0687275</v>
      </c>
      <c r="H51" s="29">
        <f>MAX(MAX(Inputs!$B$5,(Inputs!$B$5+(E51-Inputs!$B$5)*MIN(1,$B$16/G51)))+$B$7/2,MAX((Inputs!$B$5+(E51-Inputs!$B$5)*MIN(1,$B$16/G51)),E51)+Inputs!$B$41)</f>
        <v>291.8</v>
      </c>
      <c r="I51" s="29">
        <f>MIN(IF(OR(Inputs!$C$68=0,((((Inputs!$C$68*COS(($B51))+Inputs!$B$68*SIN(($B51)))-Inputs!$B$5)*(E51-Inputs!$B$5)+((Inputs!$C$68*SIN(($B51))-Inputs!$B$68*COS(($B51)))-Inputs!$B$6)*(F51-Inputs!$B$6))/G51)&lt;0,((((Inputs!$C$68*COS(($B51))+Inputs!$B$68*SIN(($B51)))-Inputs!$B$5)*(E51-Inputs!$B$5)+((Inputs!$C$68*SIN(($B51))-Inputs!$B$68*COS(($B51)))-Inputs!$B$6)*(F51-Inputs!$B$6))/G51)&gt;G51-Inputs!$B$40),999,(ABS((E51-Inputs!$B$5)*((Inputs!$C$68*SIN(($B51))-Inputs!$B$68*COS(($B51)))-Inputs!$B$6)-(F51-Inputs!$B$6)*((Inputs!$C$68*COS(($B51))+Inputs!$B$68*SIN(($B51)))-Inputs!$B$5))/G51)-IF(((((Inputs!$C$68*COS(($B51))+Inputs!$B$68*SIN(($B51)))-Inputs!$B$5)*(E51-Inputs!$B$5)+((Inputs!$C$68*SIN(($B51))-Inputs!$B$68*COS(($B51)))-Inputs!$B$6)*(F51-Inputs!$B$6))/G51)&lt;$B$16,$B$7/2,$B$8/2)-Inputs!$B$39),IF(OR(Inputs!$C$69=0,((((Inputs!$C$69*COS(($B51))+Inputs!$B$69*SIN(($B51)))-Inputs!$B$5)*(E51-Inputs!$B$5)+((Inputs!$C$69*SIN(($B51))-Inputs!$B$69*COS(($B51)))-Inputs!$B$6)*(F51-Inputs!$B$6))/G51)&lt;0,((((Inputs!$C$69*COS(($B51))+Inputs!$B$69*SIN(($B51)))-Inputs!$B$5)*(E51-Inputs!$B$5)+((Inputs!$C$69*SIN(($B51))-Inputs!$B$69*COS(($B51)))-Inputs!$B$6)*(F51-Inputs!$B$6))/G51)&gt;G51-Inputs!$B$40),999,(ABS((E51-Inputs!$B$5)*((Inputs!$C$69*SIN(($B51))-Inputs!$B$69*COS(($B51)))-Inputs!$B$6)-(F51-Inputs!$B$6)*((Inputs!$C$69*COS(($B51))+Inputs!$B$69*SIN(($B51)))-Inputs!$B$5))/G51)-IF(((((Inputs!$C$69*COS(($B51))+Inputs!$B$69*SIN(($B51)))-Inputs!$B$5)*(E51-Inputs!$B$5)+((Inputs!$C$69*SIN(($B51))-Inputs!$B$69*COS(($B51)))-Inputs!$B$6)*(F51-Inputs!$B$6))/G51)&lt;$B$16,$B$7/2,$B$8/2)-Inputs!$B$39),IF(OR(Inputs!$C$70=0,((((Inputs!$C$70*COS(($B51))+Inputs!$B$70*SIN(($B51)))-Inputs!$B$5)*(E51-Inputs!$B$5)+((Inputs!$C$70*SIN(($B51))-Inputs!$B$70*COS(($B51)))-Inputs!$B$6)*(F51-Inputs!$B$6))/G51)&lt;0,((((Inputs!$C$70*COS(($B51))+Inputs!$B$70*SIN(($B51)))-Inputs!$B$5)*(E51-Inputs!$B$5)+((Inputs!$C$70*SIN(($B51))-Inputs!$B$70*COS(($B51)))-Inputs!$B$6)*(F51-Inputs!$B$6))/G51)&gt;G51-Inputs!$B$40),999,(ABS((E51-Inputs!$B$5)*((Inputs!$C$70*SIN(($B51))-Inputs!$B$70*COS(($B51)))-Inputs!$B$6)-(F51-Inputs!$B$6)*((Inputs!$C$70*COS(($B51))+Inputs!$B$70*SIN(($B51)))-Inputs!$B$5))/G51)-IF(((((Inputs!$C$70*COS(($B51))+Inputs!$B$70*SIN(($B51)))-Inputs!$B$5)*(E51-Inputs!$B$5)+((Inputs!$C$70*SIN(($B51))-Inputs!$B$70*COS(($B51)))-Inputs!$B$6)*(F51-Inputs!$B$6))/G51)&lt;$B$16,$B$7/2,$B$8/2)-Inputs!$B$39),IF(OR(Inputs!$C$71=0,((((Inputs!$C$71*COS(($B51))+Inputs!$B$71*SIN(($B51)))-Inputs!$B$5)*(E51-Inputs!$B$5)+((Inputs!$C$71*SIN(($B51))-Inputs!$B$71*COS(($B51)))-Inputs!$B$6)*(F51-Inputs!$B$6))/G51)&lt;0,((((Inputs!$C$71*COS(($B51))+Inputs!$B$71*SIN(($B51)))-Inputs!$B$5)*(E51-Inputs!$B$5)+((Inputs!$C$71*SIN(($B51))-Inputs!$B$71*COS(($B51)))-Inputs!$B$6)*(F51-Inputs!$B$6))/G51)&gt;G51-Inputs!$B$40),999,(ABS((E51-Inputs!$B$5)*((Inputs!$C$71*SIN(($B51))-Inputs!$B$71*COS(($B51)))-Inputs!$B$6)-(F51-Inputs!$B$6)*((Inputs!$C$71*COS(($B51))+Inputs!$B$71*SIN(($B51)))-Inputs!$B$5))/G51)-IF(((((Inputs!$C$71*COS(($B51))+Inputs!$B$71*SIN(($B51)))-Inputs!$B$5)*(E51-Inputs!$B$5)+((Inputs!$C$71*SIN(($B51))-Inputs!$B$71*COS(($B51)))-Inputs!$B$6)*(F51-Inputs!$B$6))/G51)&lt;$B$16,$B$7/2,$B$8/2)-Inputs!$B$39),IF(OR(Inputs!$C$72=0,((((Inputs!$C$72*COS(($B51))+Inputs!$B$72*SIN(($B51)))-Inputs!$B$5)*(E51-Inputs!$B$5)+((Inputs!$C$72*SIN(($B51))-Inputs!$B$72*COS(($B51)))-Inputs!$B$6)*(F51-Inputs!$B$6))/G51)&lt;0,((((Inputs!$C$72*COS(($B51))+Inputs!$B$72*SIN(($B51)))-Inputs!$B$5)*(E51-Inputs!$B$5)+((Inputs!$C$72*SIN(($B51))-Inputs!$B$72*COS(($B51)))-Inputs!$B$6)*(F51-Inputs!$B$6))/G51)&gt;G51-Inputs!$B$40),999,(ABS((E51-Inputs!$B$5)*((Inputs!$C$72*SIN(($B51))-Inputs!$B$72*COS(($B51)))-Inputs!$B$6)-(F51-Inputs!$B$6)*((Inputs!$C$72*COS(($B51))+Inputs!$B$72*SIN(($B51)))-Inputs!$B$5))/G51)-IF(((((Inputs!$C$72*COS(($B51))+Inputs!$B$72*SIN(($B51)))-Inputs!$B$5)*(E51-Inputs!$B$5)+((Inputs!$C$72*SIN(($B51))-Inputs!$B$72*COS(($B51)))-Inputs!$B$6)*(F51-Inputs!$B$6))/G51)&lt;$B$16,$B$7/2,$B$8/2)-Inputs!$B$39))</f>
        <v>27.91289832</v>
      </c>
      <c r="J51" s="76">
        <f>IF(AND(G51&gt;=$B$14,G51&lt;=$B$15,H51&lt;=Inputs!$B$38,I51&gt;=0,$D51=1),1,0)</f>
        <v>1</v>
      </c>
      <c r="K51" s="29">
        <f>Inputs!$B$11*COS((-$B51))-Inputs!$B$7*SIN((-$B51))</f>
        <v>88.81670838</v>
      </c>
      <c r="L51" s="29">
        <f>Inputs!$B$11*SIN((-$B51))+Inputs!$B$7*COS((-$B51))</f>
        <v>-203.2234567</v>
      </c>
      <c r="M51" s="29">
        <f>SQRT((K51-Inputs!$B$5)^2+(L51-Inputs!$B$6)^2)</f>
        <v>343.4013951</v>
      </c>
      <c r="N51" s="29">
        <f>MAX(MAX(Inputs!$B$5,(Inputs!$B$5+(K51-Inputs!$B$5)*MIN(1,$B$16/M51)))+$B$7/2,MAX((Inputs!$B$5+(K51-Inputs!$B$5)*MIN(1,$B$16/M51)),K51)+Inputs!$B$41)</f>
        <v>291.8</v>
      </c>
      <c r="O51" s="29">
        <f>MIN(IF(OR(Inputs!$C$68=0,((((Inputs!$C$68*COS((-$B51))+Inputs!$B$68*SIN((-$B51)))-Inputs!$B$5)*(K51-Inputs!$B$5)+((Inputs!$C$68*SIN((-$B51))-Inputs!$B$68*COS((-$B51)))-Inputs!$B$6)*(L51-Inputs!$B$6))/M51)&lt;0,((((Inputs!$C$68*COS((-$B51))+Inputs!$B$68*SIN((-$B51)))-Inputs!$B$5)*(K51-Inputs!$B$5)+((Inputs!$C$68*SIN((-$B51))-Inputs!$B$68*COS((-$B51)))-Inputs!$B$6)*(L51-Inputs!$B$6))/M51)&gt;M51-Inputs!$B$40),999,(ABS((K51-Inputs!$B$5)*((Inputs!$C$68*SIN((-$B51))-Inputs!$B$68*COS((-$B51)))-Inputs!$B$6)-(L51-Inputs!$B$6)*((Inputs!$C$68*COS((-$B51))+Inputs!$B$68*SIN((-$B51)))-Inputs!$B$5))/M51)-IF(((((Inputs!$C$68*COS((-$B51))+Inputs!$B$68*SIN((-$B51)))-Inputs!$B$5)*(K51-Inputs!$B$5)+((Inputs!$C$68*SIN((-$B51))-Inputs!$B$68*COS((-$B51)))-Inputs!$B$6)*(L51-Inputs!$B$6))/M51)&lt;$B$16,$B$7/2,$B$8/2)-Inputs!$B$39),IF(OR(Inputs!$C$69=0,((((Inputs!$C$69*COS((-$B51))+Inputs!$B$69*SIN((-$B51)))-Inputs!$B$5)*(K51-Inputs!$B$5)+((Inputs!$C$69*SIN((-$B51))-Inputs!$B$69*COS((-$B51)))-Inputs!$B$6)*(L51-Inputs!$B$6))/M51)&lt;0,((((Inputs!$C$69*COS((-$B51))+Inputs!$B$69*SIN((-$B51)))-Inputs!$B$5)*(K51-Inputs!$B$5)+((Inputs!$C$69*SIN((-$B51))-Inputs!$B$69*COS((-$B51)))-Inputs!$B$6)*(L51-Inputs!$B$6))/M51)&gt;M51-Inputs!$B$40),999,(ABS((K51-Inputs!$B$5)*((Inputs!$C$69*SIN((-$B51))-Inputs!$B$69*COS((-$B51)))-Inputs!$B$6)-(L51-Inputs!$B$6)*((Inputs!$C$69*COS((-$B51))+Inputs!$B$69*SIN((-$B51)))-Inputs!$B$5))/M51)-IF(((((Inputs!$C$69*COS((-$B51))+Inputs!$B$69*SIN((-$B51)))-Inputs!$B$5)*(K51-Inputs!$B$5)+((Inputs!$C$69*SIN((-$B51))-Inputs!$B$69*COS((-$B51)))-Inputs!$B$6)*(L51-Inputs!$B$6))/M51)&lt;$B$16,$B$7/2,$B$8/2)-Inputs!$B$39),IF(OR(Inputs!$C$70=0,((((Inputs!$C$70*COS((-$B51))+Inputs!$B$70*SIN((-$B51)))-Inputs!$B$5)*(K51-Inputs!$B$5)+((Inputs!$C$70*SIN((-$B51))-Inputs!$B$70*COS((-$B51)))-Inputs!$B$6)*(L51-Inputs!$B$6))/M51)&lt;0,((((Inputs!$C$70*COS((-$B51))+Inputs!$B$70*SIN((-$B51)))-Inputs!$B$5)*(K51-Inputs!$B$5)+((Inputs!$C$70*SIN((-$B51))-Inputs!$B$70*COS((-$B51)))-Inputs!$B$6)*(L51-Inputs!$B$6))/M51)&gt;M51-Inputs!$B$40),999,(ABS((K51-Inputs!$B$5)*((Inputs!$C$70*SIN((-$B51))-Inputs!$B$70*COS((-$B51)))-Inputs!$B$6)-(L51-Inputs!$B$6)*((Inputs!$C$70*COS((-$B51))+Inputs!$B$70*SIN((-$B51)))-Inputs!$B$5))/M51)-IF(((((Inputs!$C$70*COS((-$B51))+Inputs!$B$70*SIN((-$B51)))-Inputs!$B$5)*(K51-Inputs!$B$5)+((Inputs!$C$70*SIN((-$B51))-Inputs!$B$70*COS((-$B51)))-Inputs!$B$6)*(L51-Inputs!$B$6))/M51)&lt;$B$16,$B$7/2,$B$8/2)-Inputs!$B$39),IF(OR(Inputs!$C$71=0,((((Inputs!$C$71*COS((-$B51))+Inputs!$B$71*SIN((-$B51)))-Inputs!$B$5)*(K51-Inputs!$B$5)+((Inputs!$C$71*SIN((-$B51))-Inputs!$B$71*COS((-$B51)))-Inputs!$B$6)*(L51-Inputs!$B$6))/M51)&lt;0,((((Inputs!$C$71*COS((-$B51))+Inputs!$B$71*SIN((-$B51)))-Inputs!$B$5)*(K51-Inputs!$B$5)+((Inputs!$C$71*SIN((-$B51))-Inputs!$B$71*COS((-$B51)))-Inputs!$B$6)*(L51-Inputs!$B$6))/M51)&gt;M51-Inputs!$B$40),999,(ABS((K51-Inputs!$B$5)*((Inputs!$C$71*SIN((-$B51))-Inputs!$B$71*COS((-$B51)))-Inputs!$B$6)-(L51-Inputs!$B$6)*((Inputs!$C$71*COS((-$B51))+Inputs!$B$71*SIN((-$B51)))-Inputs!$B$5))/M51)-IF(((((Inputs!$C$71*COS((-$B51))+Inputs!$B$71*SIN((-$B51)))-Inputs!$B$5)*(K51-Inputs!$B$5)+((Inputs!$C$71*SIN((-$B51))-Inputs!$B$71*COS((-$B51)))-Inputs!$B$6)*(L51-Inputs!$B$6))/M51)&lt;$B$16,$B$7/2,$B$8/2)-Inputs!$B$39),IF(OR(Inputs!$C$72=0,((((Inputs!$C$72*COS((-$B51))+Inputs!$B$72*SIN((-$B51)))-Inputs!$B$5)*(K51-Inputs!$B$5)+((Inputs!$C$72*SIN((-$B51))-Inputs!$B$72*COS((-$B51)))-Inputs!$B$6)*(L51-Inputs!$B$6))/M51)&lt;0,((((Inputs!$C$72*COS((-$B51))+Inputs!$B$72*SIN((-$B51)))-Inputs!$B$5)*(K51-Inputs!$B$5)+((Inputs!$C$72*SIN((-$B51))-Inputs!$B$72*COS((-$B51)))-Inputs!$B$6)*(L51-Inputs!$B$6))/M51)&gt;M51-Inputs!$B$40),999,(ABS((K51-Inputs!$B$5)*((Inputs!$C$72*SIN((-$B51))-Inputs!$B$72*COS((-$B51)))-Inputs!$B$6)-(L51-Inputs!$B$6)*((Inputs!$C$72*COS((-$B51))+Inputs!$B$72*SIN((-$B51)))-Inputs!$B$5))/M51)-IF(((((Inputs!$C$72*COS((-$B51))+Inputs!$B$72*SIN((-$B51)))-Inputs!$B$5)*(K51-Inputs!$B$5)+((Inputs!$C$72*SIN((-$B51))-Inputs!$B$72*COS((-$B51)))-Inputs!$B$6)*(L51-Inputs!$B$6))/M51)&lt;$B$16,$B$7/2,$B$8/2)-Inputs!$B$39))</f>
        <v>22.80934621</v>
      </c>
      <c r="P51" s="76">
        <f>IF(AND(M51&gt;=$B$14,M51&lt;=$B$15,N51&lt;=Inputs!$B$38,O51&gt;=0,$D51=1),1,0)</f>
        <v>1</v>
      </c>
      <c r="X51" s="15">
        <v>8.0</v>
      </c>
      <c r="Y51" s="22">
        <f t="shared" si="1"/>
        <v>291.8</v>
      </c>
      <c r="Z51" s="22">
        <f>Inputs!$B$38</f>
        <v>350</v>
      </c>
      <c r="AA51" s="22">
        <f t="shared" si="2"/>
        <v>35.44880973</v>
      </c>
      <c r="AB51" s="15">
        <v>0.0</v>
      </c>
    </row>
    <row r="52" ht="15.75" customHeight="1">
      <c r="A52" s="23">
        <v>2.25</v>
      </c>
      <c r="B52" s="40">
        <f t="shared" si="4"/>
        <v>0.03926990817</v>
      </c>
      <c r="C52" s="29">
        <f>MAX(Inputs!$C$68*COS($B52)+Inputs!$B$68*ABS(SIN($B52)),Inputs!$C$69*COS($B52)+Inputs!$B$69*ABS(SIN($B52)),Inputs!$C$70*COS($B52)+Inputs!$B$70*ABS(SIN($B52)),Inputs!$C$71*COS($B52)+Inputs!$B$71*ABS(SIN($B52)),Inputs!$C$72*COS($B52)+Inputs!$B$72*ABS(SIN($B52)))</f>
        <v>94.59111869</v>
      </c>
      <c r="D52" s="71">
        <f>IF(C52&lt;=Inputs!$B$38,1,0)</f>
        <v>1</v>
      </c>
      <c r="E52" s="29">
        <f>Inputs!$B$11*COS(($B52))-Inputs!$B$7*SIN(($B52))</f>
        <v>103.6330624</v>
      </c>
      <c r="F52" s="29">
        <f>Inputs!$B$11*SIN(($B52))+Inputs!$B$7*COS(($B52))</f>
        <v>-196.0825576</v>
      </c>
      <c r="G52" s="29">
        <f>SQRT((E52-Inputs!$B$5)^2+(F52-Inputs!$B$6)^2)</f>
        <v>330.2849699</v>
      </c>
      <c r="H52" s="29">
        <f>MAX(MAX(Inputs!$B$5,(Inputs!$B$5+(E52-Inputs!$B$5)*MIN(1,$B$16/G52)))+$B$7/2,MAX((Inputs!$B$5+(E52-Inputs!$B$5)*MIN(1,$B$16/G52)),E52)+Inputs!$B$41)</f>
        <v>291.8</v>
      </c>
      <c r="I52" s="29">
        <f>MIN(IF(OR(Inputs!$C$68=0,((((Inputs!$C$68*COS(($B52))+Inputs!$B$68*SIN(($B52)))-Inputs!$B$5)*(E52-Inputs!$B$5)+((Inputs!$C$68*SIN(($B52))-Inputs!$B$68*COS(($B52)))-Inputs!$B$6)*(F52-Inputs!$B$6))/G52)&lt;0,((((Inputs!$C$68*COS(($B52))+Inputs!$B$68*SIN(($B52)))-Inputs!$B$5)*(E52-Inputs!$B$5)+((Inputs!$C$68*SIN(($B52))-Inputs!$B$68*COS(($B52)))-Inputs!$B$6)*(F52-Inputs!$B$6))/G52)&gt;G52-Inputs!$B$40),999,(ABS((E52-Inputs!$B$5)*((Inputs!$C$68*SIN(($B52))-Inputs!$B$68*COS(($B52)))-Inputs!$B$6)-(F52-Inputs!$B$6)*((Inputs!$C$68*COS(($B52))+Inputs!$B$68*SIN(($B52)))-Inputs!$B$5))/G52)-IF(((((Inputs!$C$68*COS(($B52))+Inputs!$B$68*SIN(($B52)))-Inputs!$B$5)*(E52-Inputs!$B$5)+((Inputs!$C$68*SIN(($B52))-Inputs!$B$68*COS(($B52)))-Inputs!$B$6)*(F52-Inputs!$B$6))/G52)&lt;$B$16,$B$7/2,$B$8/2)-Inputs!$B$39),IF(OR(Inputs!$C$69=0,((((Inputs!$C$69*COS(($B52))+Inputs!$B$69*SIN(($B52)))-Inputs!$B$5)*(E52-Inputs!$B$5)+((Inputs!$C$69*SIN(($B52))-Inputs!$B$69*COS(($B52)))-Inputs!$B$6)*(F52-Inputs!$B$6))/G52)&lt;0,((((Inputs!$C$69*COS(($B52))+Inputs!$B$69*SIN(($B52)))-Inputs!$B$5)*(E52-Inputs!$B$5)+((Inputs!$C$69*SIN(($B52))-Inputs!$B$69*COS(($B52)))-Inputs!$B$6)*(F52-Inputs!$B$6))/G52)&gt;G52-Inputs!$B$40),999,(ABS((E52-Inputs!$B$5)*((Inputs!$C$69*SIN(($B52))-Inputs!$B$69*COS(($B52)))-Inputs!$B$6)-(F52-Inputs!$B$6)*((Inputs!$C$69*COS(($B52))+Inputs!$B$69*SIN(($B52)))-Inputs!$B$5))/G52)-IF(((((Inputs!$C$69*COS(($B52))+Inputs!$B$69*SIN(($B52)))-Inputs!$B$5)*(E52-Inputs!$B$5)+((Inputs!$C$69*SIN(($B52))-Inputs!$B$69*COS(($B52)))-Inputs!$B$6)*(F52-Inputs!$B$6))/G52)&lt;$B$16,$B$7/2,$B$8/2)-Inputs!$B$39),IF(OR(Inputs!$C$70=0,((((Inputs!$C$70*COS(($B52))+Inputs!$B$70*SIN(($B52)))-Inputs!$B$5)*(E52-Inputs!$B$5)+((Inputs!$C$70*SIN(($B52))-Inputs!$B$70*COS(($B52)))-Inputs!$B$6)*(F52-Inputs!$B$6))/G52)&lt;0,((((Inputs!$C$70*COS(($B52))+Inputs!$B$70*SIN(($B52)))-Inputs!$B$5)*(E52-Inputs!$B$5)+((Inputs!$C$70*SIN(($B52))-Inputs!$B$70*COS(($B52)))-Inputs!$B$6)*(F52-Inputs!$B$6))/G52)&gt;G52-Inputs!$B$40),999,(ABS((E52-Inputs!$B$5)*((Inputs!$C$70*SIN(($B52))-Inputs!$B$70*COS(($B52)))-Inputs!$B$6)-(F52-Inputs!$B$6)*((Inputs!$C$70*COS(($B52))+Inputs!$B$70*SIN(($B52)))-Inputs!$B$5))/G52)-IF(((((Inputs!$C$70*COS(($B52))+Inputs!$B$70*SIN(($B52)))-Inputs!$B$5)*(E52-Inputs!$B$5)+((Inputs!$C$70*SIN(($B52))-Inputs!$B$70*COS(($B52)))-Inputs!$B$6)*(F52-Inputs!$B$6))/G52)&lt;$B$16,$B$7/2,$B$8/2)-Inputs!$B$39),IF(OR(Inputs!$C$71=0,((((Inputs!$C$71*COS(($B52))+Inputs!$B$71*SIN(($B52)))-Inputs!$B$5)*(E52-Inputs!$B$5)+((Inputs!$C$71*SIN(($B52))-Inputs!$B$71*COS(($B52)))-Inputs!$B$6)*(F52-Inputs!$B$6))/G52)&lt;0,((((Inputs!$C$71*COS(($B52))+Inputs!$B$71*SIN(($B52)))-Inputs!$B$5)*(E52-Inputs!$B$5)+((Inputs!$C$71*SIN(($B52))-Inputs!$B$71*COS(($B52)))-Inputs!$B$6)*(F52-Inputs!$B$6))/G52)&gt;G52-Inputs!$B$40),999,(ABS((E52-Inputs!$B$5)*((Inputs!$C$71*SIN(($B52))-Inputs!$B$71*COS(($B52)))-Inputs!$B$6)-(F52-Inputs!$B$6)*((Inputs!$C$71*COS(($B52))+Inputs!$B$71*SIN(($B52)))-Inputs!$B$5))/G52)-IF(((((Inputs!$C$71*COS(($B52))+Inputs!$B$71*SIN(($B52)))-Inputs!$B$5)*(E52-Inputs!$B$5)+((Inputs!$C$71*SIN(($B52))-Inputs!$B$71*COS(($B52)))-Inputs!$B$6)*(F52-Inputs!$B$6))/G52)&lt;$B$16,$B$7/2,$B$8/2)-Inputs!$B$39),IF(OR(Inputs!$C$72=0,((((Inputs!$C$72*COS(($B52))+Inputs!$B$72*SIN(($B52)))-Inputs!$B$5)*(E52-Inputs!$B$5)+((Inputs!$C$72*SIN(($B52))-Inputs!$B$72*COS(($B52)))-Inputs!$B$6)*(F52-Inputs!$B$6))/G52)&lt;0,((((Inputs!$C$72*COS(($B52))+Inputs!$B$72*SIN(($B52)))-Inputs!$B$5)*(E52-Inputs!$B$5)+((Inputs!$C$72*SIN(($B52))-Inputs!$B$72*COS(($B52)))-Inputs!$B$6)*(F52-Inputs!$B$6))/G52)&gt;G52-Inputs!$B$40),999,(ABS((E52-Inputs!$B$5)*((Inputs!$C$72*SIN(($B52))-Inputs!$B$72*COS(($B52)))-Inputs!$B$6)-(F52-Inputs!$B$6)*((Inputs!$C$72*COS(($B52))+Inputs!$B$72*SIN(($B52)))-Inputs!$B$5))/G52)-IF(((((Inputs!$C$72*COS(($B52))+Inputs!$B$72*SIN(($B52)))-Inputs!$B$5)*(E52-Inputs!$B$5)+((Inputs!$C$72*SIN(($B52))-Inputs!$B$72*COS(($B52)))-Inputs!$B$6)*(F52-Inputs!$B$6))/G52)&lt;$B$16,$B$7/2,$B$8/2)-Inputs!$B$39))</f>
        <v>28.22982781</v>
      </c>
      <c r="J52" s="76">
        <f>IF(AND(G52&gt;=$B$14,G52&lt;=$B$15,H52&lt;=Inputs!$B$38,I52&gt;=0,$D52=1),1,0)</f>
        <v>1</v>
      </c>
      <c r="K52" s="29">
        <f>Inputs!$B$11*COS((-$B52))-Inputs!$B$7*SIN((-$B52))</f>
        <v>87.92913612</v>
      </c>
      <c r="L52" s="29">
        <f>Inputs!$B$11*SIN((-$B52))+Inputs!$B$7*COS((-$B52))</f>
        <v>-203.6090569</v>
      </c>
      <c r="M52" s="29">
        <f>SQRT((K52-Inputs!$B$5)^2+(L52-Inputs!$B$6)^2)</f>
        <v>344.1590103</v>
      </c>
      <c r="N52" s="29">
        <f>MAX(MAX(Inputs!$B$5,(Inputs!$B$5+(K52-Inputs!$B$5)*MIN(1,$B$16/M52)))+$B$7/2,MAX((Inputs!$B$5+(K52-Inputs!$B$5)*MIN(1,$B$16/M52)),K52)+Inputs!$B$41)</f>
        <v>291.8</v>
      </c>
      <c r="O52" s="29">
        <f>MIN(IF(OR(Inputs!$C$68=0,((((Inputs!$C$68*COS((-$B52))+Inputs!$B$68*SIN((-$B52)))-Inputs!$B$5)*(K52-Inputs!$B$5)+((Inputs!$C$68*SIN((-$B52))-Inputs!$B$68*COS((-$B52)))-Inputs!$B$6)*(L52-Inputs!$B$6))/M52)&lt;0,((((Inputs!$C$68*COS((-$B52))+Inputs!$B$68*SIN((-$B52)))-Inputs!$B$5)*(K52-Inputs!$B$5)+((Inputs!$C$68*SIN((-$B52))-Inputs!$B$68*COS((-$B52)))-Inputs!$B$6)*(L52-Inputs!$B$6))/M52)&gt;M52-Inputs!$B$40),999,(ABS((K52-Inputs!$B$5)*((Inputs!$C$68*SIN((-$B52))-Inputs!$B$68*COS((-$B52)))-Inputs!$B$6)-(L52-Inputs!$B$6)*((Inputs!$C$68*COS((-$B52))+Inputs!$B$68*SIN((-$B52)))-Inputs!$B$5))/M52)-IF(((((Inputs!$C$68*COS((-$B52))+Inputs!$B$68*SIN((-$B52)))-Inputs!$B$5)*(K52-Inputs!$B$5)+((Inputs!$C$68*SIN((-$B52))-Inputs!$B$68*COS((-$B52)))-Inputs!$B$6)*(L52-Inputs!$B$6))/M52)&lt;$B$16,$B$7/2,$B$8/2)-Inputs!$B$39),IF(OR(Inputs!$C$69=0,((((Inputs!$C$69*COS((-$B52))+Inputs!$B$69*SIN((-$B52)))-Inputs!$B$5)*(K52-Inputs!$B$5)+((Inputs!$C$69*SIN((-$B52))-Inputs!$B$69*COS((-$B52)))-Inputs!$B$6)*(L52-Inputs!$B$6))/M52)&lt;0,((((Inputs!$C$69*COS((-$B52))+Inputs!$B$69*SIN((-$B52)))-Inputs!$B$5)*(K52-Inputs!$B$5)+((Inputs!$C$69*SIN((-$B52))-Inputs!$B$69*COS((-$B52)))-Inputs!$B$6)*(L52-Inputs!$B$6))/M52)&gt;M52-Inputs!$B$40),999,(ABS((K52-Inputs!$B$5)*((Inputs!$C$69*SIN((-$B52))-Inputs!$B$69*COS((-$B52)))-Inputs!$B$6)-(L52-Inputs!$B$6)*((Inputs!$C$69*COS((-$B52))+Inputs!$B$69*SIN((-$B52)))-Inputs!$B$5))/M52)-IF(((((Inputs!$C$69*COS((-$B52))+Inputs!$B$69*SIN((-$B52)))-Inputs!$B$5)*(K52-Inputs!$B$5)+((Inputs!$C$69*SIN((-$B52))-Inputs!$B$69*COS((-$B52)))-Inputs!$B$6)*(L52-Inputs!$B$6))/M52)&lt;$B$16,$B$7/2,$B$8/2)-Inputs!$B$39),IF(OR(Inputs!$C$70=0,((((Inputs!$C$70*COS((-$B52))+Inputs!$B$70*SIN((-$B52)))-Inputs!$B$5)*(K52-Inputs!$B$5)+((Inputs!$C$70*SIN((-$B52))-Inputs!$B$70*COS((-$B52)))-Inputs!$B$6)*(L52-Inputs!$B$6))/M52)&lt;0,((((Inputs!$C$70*COS((-$B52))+Inputs!$B$70*SIN((-$B52)))-Inputs!$B$5)*(K52-Inputs!$B$5)+((Inputs!$C$70*SIN((-$B52))-Inputs!$B$70*COS((-$B52)))-Inputs!$B$6)*(L52-Inputs!$B$6))/M52)&gt;M52-Inputs!$B$40),999,(ABS((K52-Inputs!$B$5)*((Inputs!$C$70*SIN((-$B52))-Inputs!$B$70*COS((-$B52)))-Inputs!$B$6)-(L52-Inputs!$B$6)*((Inputs!$C$70*COS((-$B52))+Inputs!$B$70*SIN((-$B52)))-Inputs!$B$5))/M52)-IF(((((Inputs!$C$70*COS((-$B52))+Inputs!$B$70*SIN((-$B52)))-Inputs!$B$5)*(K52-Inputs!$B$5)+((Inputs!$C$70*SIN((-$B52))-Inputs!$B$70*COS((-$B52)))-Inputs!$B$6)*(L52-Inputs!$B$6))/M52)&lt;$B$16,$B$7/2,$B$8/2)-Inputs!$B$39),IF(OR(Inputs!$C$71=0,((((Inputs!$C$71*COS((-$B52))+Inputs!$B$71*SIN((-$B52)))-Inputs!$B$5)*(K52-Inputs!$B$5)+((Inputs!$C$71*SIN((-$B52))-Inputs!$B$71*COS((-$B52)))-Inputs!$B$6)*(L52-Inputs!$B$6))/M52)&lt;0,((((Inputs!$C$71*COS((-$B52))+Inputs!$B$71*SIN((-$B52)))-Inputs!$B$5)*(K52-Inputs!$B$5)+((Inputs!$C$71*SIN((-$B52))-Inputs!$B$71*COS((-$B52)))-Inputs!$B$6)*(L52-Inputs!$B$6))/M52)&gt;M52-Inputs!$B$40),999,(ABS((K52-Inputs!$B$5)*((Inputs!$C$71*SIN((-$B52))-Inputs!$B$71*COS((-$B52)))-Inputs!$B$6)-(L52-Inputs!$B$6)*((Inputs!$C$71*COS((-$B52))+Inputs!$B$71*SIN((-$B52)))-Inputs!$B$5))/M52)-IF(((((Inputs!$C$71*COS((-$B52))+Inputs!$B$71*SIN((-$B52)))-Inputs!$B$5)*(K52-Inputs!$B$5)+((Inputs!$C$71*SIN((-$B52))-Inputs!$B$71*COS((-$B52)))-Inputs!$B$6)*(L52-Inputs!$B$6))/M52)&lt;$B$16,$B$7/2,$B$8/2)-Inputs!$B$39),IF(OR(Inputs!$C$72=0,((((Inputs!$C$72*COS((-$B52))+Inputs!$B$72*SIN((-$B52)))-Inputs!$B$5)*(K52-Inputs!$B$5)+((Inputs!$C$72*SIN((-$B52))-Inputs!$B$72*COS((-$B52)))-Inputs!$B$6)*(L52-Inputs!$B$6))/M52)&lt;0,((((Inputs!$C$72*COS((-$B52))+Inputs!$B$72*SIN((-$B52)))-Inputs!$B$5)*(K52-Inputs!$B$5)+((Inputs!$C$72*SIN((-$B52))-Inputs!$B$72*COS((-$B52)))-Inputs!$B$6)*(L52-Inputs!$B$6))/M52)&gt;M52-Inputs!$B$40),999,(ABS((K52-Inputs!$B$5)*((Inputs!$C$72*SIN((-$B52))-Inputs!$B$72*COS((-$B52)))-Inputs!$B$6)-(L52-Inputs!$B$6)*((Inputs!$C$72*COS((-$B52))+Inputs!$B$72*SIN((-$B52)))-Inputs!$B$5))/M52)-IF(((((Inputs!$C$72*COS((-$B52))+Inputs!$B$72*SIN((-$B52)))-Inputs!$B$5)*(K52-Inputs!$B$5)+((Inputs!$C$72*SIN((-$B52))-Inputs!$B$72*COS((-$B52)))-Inputs!$B$6)*(L52-Inputs!$B$6))/M52)&lt;$B$16,$B$7/2,$B$8/2)-Inputs!$B$39))</f>
        <v>22.48838983</v>
      </c>
      <c r="P52" s="76">
        <f>IF(AND(M52&gt;=$B$14,M52&lt;=$B$15,N52&lt;=Inputs!$B$38,O52&gt;=0,$D52=1),1,0)</f>
        <v>1</v>
      </c>
      <c r="X52" s="15">
        <v>8.5</v>
      </c>
      <c r="Y52" s="22">
        <f t="shared" si="1"/>
        <v>291.8</v>
      </c>
      <c r="Z52" s="22">
        <f>Inputs!$B$38</f>
        <v>350</v>
      </c>
      <c r="AA52" s="22">
        <f t="shared" si="2"/>
        <v>36.0699381</v>
      </c>
      <c r="AB52" s="15">
        <v>0.0</v>
      </c>
    </row>
    <row r="53" ht="15.75" customHeight="1">
      <c r="A53" s="23">
        <v>2.5</v>
      </c>
      <c r="B53" s="40">
        <f t="shared" si="4"/>
        <v>0.0436332313</v>
      </c>
      <c r="C53" s="29">
        <f>MAX(Inputs!$C$68*COS($B53)+Inputs!$B$68*ABS(SIN($B53)),Inputs!$C$69*COS($B53)+Inputs!$B$69*ABS(SIN($B53)),Inputs!$C$70*COS($B53)+Inputs!$B$70*ABS(SIN($B53)),Inputs!$C$71*COS($B53)+Inputs!$B$71*ABS(SIN($B53)),Inputs!$C$72*COS($B53)+Inputs!$B$72*ABS(SIN($B53)))</f>
        <v>96.31489962</v>
      </c>
      <c r="D53" s="71">
        <f>IF(C53&lt;=Inputs!$B$38,1,0)</f>
        <v>1</v>
      </c>
      <c r="E53" s="29">
        <f>Inputs!$B$11*COS(($B53))-Inputs!$B$7*SIN(($B53))</f>
        <v>104.4876448</v>
      </c>
      <c r="F53" s="29">
        <f>Inputs!$B$11*SIN(($B53))+Inputs!$B$7*COS(($B53))</f>
        <v>-195.6285079</v>
      </c>
      <c r="G53" s="29">
        <f>SQRT((E53-Inputs!$B$5)^2+(F53-Inputs!$B$6)^2)</f>
        <v>329.499712</v>
      </c>
      <c r="H53" s="29">
        <f>MAX(MAX(Inputs!$B$5,(Inputs!$B$5+(E53-Inputs!$B$5)*MIN(1,$B$16/G53)))+$B$7/2,MAX((Inputs!$B$5+(E53-Inputs!$B$5)*MIN(1,$B$16/G53)),E53)+Inputs!$B$41)</f>
        <v>291.8</v>
      </c>
      <c r="I53" s="29">
        <f>MIN(IF(OR(Inputs!$C$68=0,((((Inputs!$C$68*COS(($B53))+Inputs!$B$68*SIN(($B53)))-Inputs!$B$5)*(E53-Inputs!$B$5)+((Inputs!$C$68*SIN(($B53))-Inputs!$B$68*COS(($B53)))-Inputs!$B$6)*(F53-Inputs!$B$6))/G53)&lt;0,((((Inputs!$C$68*COS(($B53))+Inputs!$B$68*SIN(($B53)))-Inputs!$B$5)*(E53-Inputs!$B$5)+((Inputs!$C$68*SIN(($B53))-Inputs!$B$68*COS(($B53)))-Inputs!$B$6)*(F53-Inputs!$B$6))/G53)&gt;G53-Inputs!$B$40),999,(ABS((E53-Inputs!$B$5)*((Inputs!$C$68*SIN(($B53))-Inputs!$B$68*COS(($B53)))-Inputs!$B$6)-(F53-Inputs!$B$6)*((Inputs!$C$68*COS(($B53))+Inputs!$B$68*SIN(($B53)))-Inputs!$B$5))/G53)-IF(((((Inputs!$C$68*COS(($B53))+Inputs!$B$68*SIN(($B53)))-Inputs!$B$5)*(E53-Inputs!$B$5)+((Inputs!$C$68*SIN(($B53))-Inputs!$B$68*COS(($B53)))-Inputs!$B$6)*(F53-Inputs!$B$6))/G53)&lt;$B$16,$B$7/2,$B$8/2)-Inputs!$B$39),IF(OR(Inputs!$C$69=0,((((Inputs!$C$69*COS(($B53))+Inputs!$B$69*SIN(($B53)))-Inputs!$B$5)*(E53-Inputs!$B$5)+((Inputs!$C$69*SIN(($B53))-Inputs!$B$69*COS(($B53)))-Inputs!$B$6)*(F53-Inputs!$B$6))/G53)&lt;0,((((Inputs!$C$69*COS(($B53))+Inputs!$B$69*SIN(($B53)))-Inputs!$B$5)*(E53-Inputs!$B$5)+((Inputs!$C$69*SIN(($B53))-Inputs!$B$69*COS(($B53)))-Inputs!$B$6)*(F53-Inputs!$B$6))/G53)&gt;G53-Inputs!$B$40),999,(ABS((E53-Inputs!$B$5)*((Inputs!$C$69*SIN(($B53))-Inputs!$B$69*COS(($B53)))-Inputs!$B$6)-(F53-Inputs!$B$6)*((Inputs!$C$69*COS(($B53))+Inputs!$B$69*SIN(($B53)))-Inputs!$B$5))/G53)-IF(((((Inputs!$C$69*COS(($B53))+Inputs!$B$69*SIN(($B53)))-Inputs!$B$5)*(E53-Inputs!$B$5)+((Inputs!$C$69*SIN(($B53))-Inputs!$B$69*COS(($B53)))-Inputs!$B$6)*(F53-Inputs!$B$6))/G53)&lt;$B$16,$B$7/2,$B$8/2)-Inputs!$B$39),IF(OR(Inputs!$C$70=0,((((Inputs!$C$70*COS(($B53))+Inputs!$B$70*SIN(($B53)))-Inputs!$B$5)*(E53-Inputs!$B$5)+((Inputs!$C$70*SIN(($B53))-Inputs!$B$70*COS(($B53)))-Inputs!$B$6)*(F53-Inputs!$B$6))/G53)&lt;0,((((Inputs!$C$70*COS(($B53))+Inputs!$B$70*SIN(($B53)))-Inputs!$B$5)*(E53-Inputs!$B$5)+((Inputs!$C$70*SIN(($B53))-Inputs!$B$70*COS(($B53)))-Inputs!$B$6)*(F53-Inputs!$B$6))/G53)&gt;G53-Inputs!$B$40),999,(ABS((E53-Inputs!$B$5)*((Inputs!$C$70*SIN(($B53))-Inputs!$B$70*COS(($B53)))-Inputs!$B$6)-(F53-Inputs!$B$6)*((Inputs!$C$70*COS(($B53))+Inputs!$B$70*SIN(($B53)))-Inputs!$B$5))/G53)-IF(((((Inputs!$C$70*COS(($B53))+Inputs!$B$70*SIN(($B53)))-Inputs!$B$5)*(E53-Inputs!$B$5)+((Inputs!$C$70*SIN(($B53))-Inputs!$B$70*COS(($B53)))-Inputs!$B$6)*(F53-Inputs!$B$6))/G53)&lt;$B$16,$B$7/2,$B$8/2)-Inputs!$B$39),IF(OR(Inputs!$C$71=0,((((Inputs!$C$71*COS(($B53))+Inputs!$B$71*SIN(($B53)))-Inputs!$B$5)*(E53-Inputs!$B$5)+((Inputs!$C$71*SIN(($B53))-Inputs!$B$71*COS(($B53)))-Inputs!$B$6)*(F53-Inputs!$B$6))/G53)&lt;0,((((Inputs!$C$71*COS(($B53))+Inputs!$B$71*SIN(($B53)))-Inputs!$B$5)*(E53-Inputs!$B$5)+((Inputs!$C$71*SIN(($B53))-Inputs!$B$71*COS(($B53)))-Inputs!$B$6)*(F53-Inputs!$B$6))/G53)&gt;G53-Inputs!$B$40),999,(ABS((E53-Inputs!$B$5)*((Inputs!$C$71*SIN(($B53))-Inputs!$B$71*COS(($B53)))-Inputs!$B$6)-(F53-Inputs!$B$6)*((Inputs!$C$71*COS(($B53))+Inputs!$B$71*SIN(($B53)))-Inputs!$B$5))/G53)-IF(((((Inputs!$C$71*COS(($B53))+Inputs!$B$71*SIN(($B53)))-Inputs!$B$5)*(E53-Inputs!$B$5)+((Inputs!$C$71*SIN(($B53))-Inputs!$B$71*COS(($B53)))-Inputs!$B$6)*(F53-Inputs!$B$6))/G53)&lt;$B$16,$B$7/2,$B$8/2)-Inputs!$B$39),IF(OR(Inputs!$C$72=0,((((Inputs!$C$72*COS(($B53))+Inputs!$B$72*SIN(($B53)))-Inputs!$B$5)*(E53-Inputs!$B$5)+((Inputs!$C$72*SIN(($B53))-Inputs!$B$72*COS(($B53)))-Inputs!$B$6)*(F53-Inputs!$B$6))/G53)&lt;0,((((Inputs!$C$72*COS(($B53))+Inputs!$B$72*SIN(($B53)))-Inputs!$B$5)*(E53-Inputs!$B$5)+((Inputs!$C$72*SIN(($B53))-Inputs!$B$72*COS(($B53)))-Inputs!$B$6)*(F53-Inputs!$B$6))/G53)&gt;G53-Inputs!$B$40),999,(ABS((E53-Inputs!$B$5)*((Inputs!$C$72*SIN(($B53))-Inputs!$B$72*COS(($B53)))-Inputs!$B$6)-(F53-Inputs!$B$6)*((Inputs!$C$72*COS(($B53))+Inputs!$B$72*SIN(($B53)))-Inputs!$B$5))/G53)-IF(((((Inputs!$C$72*COS(($B53))+Inputs!$B$72*SIN(($B53)))-Inputs!$B$5)*(E53-Inputs!$B$5)+((Inputs!$C$72*SIN(($B53))-Inputs!$B$72*COS(($B53)))-Inputs!$B$6)*(F53-Inputs!$B$6))/G53)&lt;$B$16,$B$7/2,$B$8/2)-Inputs!$B$39))</f>
        <v>28.54651025</v>
      </c>
      <c r="J53" s="76">
        <f>IF(AND(G53&gt;=$B$14,G53&lt;=$B$15,H53&lt;=Inputs!$B$38,I53&gt;=0,$D53=1),1,0)</f>
        <v>1</v>
      </c>
      <c r="K53" s="29">
        <f>Inputs!$B$11*COS((-$B53))-Inputs!$B$7*SIN((-$B53))</f>
        <v>87.03988981</v>
      </c>
      <c r="L53" s="29">
        <f>Inputs!$B$11*SIN((-$B53))+Inputs!$B$7*COS((-$B53))</f>
        <v>-203.9907807</v>
      </c>
      <c r="M53" s="29">
        <f>SQRT((K53-Inputs!$B$5)^2+(L53-Inputs!$B$6)^2)</f>
        <v>344.9150508</v>
      </c>
      <c r="N53" s="29">
        <f>MAX(MAX(Inputs!$B$5,(Inputs!$B$5+(K53-Inputs!$B$5)*MIN(1,$B$16/M53)))+$B$7/2,MAX((Inputs!$B$5+(K53-Inputs!$B$5)*MIN(1,$B$16/M53)),K53)+Inputs!$B$41)</f>
        <v>291.8</v>
      </c>
      <c r="O53" s="29">
        <f>MIN(IF(OR(Inputs!$C$68=0,((((Inputs!$C$68*COS((-$B53))+Inputs!$B$68*SIN((-$B53)))-Inputs!$B$5)*(K53-Inputs!$B$5)+((Inputs!$C$68*SIN((-$B53))-Inputs!$B$68*COS((-$B53)))-Inputs!$B$6)*(L53-Inputs!$B$6))/M53)&lt;0,((((Inputs!$C$68*COS((-$B53))+Inputs!$B$68*SIN((-$B53)))-Inputs!$B$5)*(K53-Inputs!$B$5)+((Inputs!$C$68*SIN((-$B53))-Inputs!$B$68*COS((-$B53)))-Inputs!$B$6)*(L53-Inputs!$B$6))/M53)&gt;M53-Inputs!$B$40),999,(ABS((K53-Inputs!$B$5)*((Inputs!$C$68*SIN((-$B53))-Inputs!$B$68*COS((-$B53)))-Inputs!$B$6)-(L53-Inputs!$B$6)*((Inputs!$C$68*COS((-$B53))+Inputs!$B$68*SIN((-$B53)))-Inputs!$B$5))/M53)-IF(((((Inputs!$C$68*COS((-$B53))+Inputs!$B$68*SIN((-$B53)))-Inputs!$B$5)*(K53-Inputs!$B$5)+((Inputs!$C$68*SIN((-$B53))-Inputs!$B$68*COS((-$B53)))-Inputs!$B$6)*(L53-Inputs!$B$6))/M53)&lt;$B$16,$B$7/2,$B$8/2)-Inputs!$B$39),IF(OR(Inputs!$C$69=0,((((Inputs!$C$69*COS((-$B53))+Inputs!$B$69*SIN((-$B53)))-Inputs!$B$5)*(K53-Inputs!$B$5)+((Inputs!$C$69*SIN((-$B53))-Inputs!$B$69*COS((-$B53)))-Inputs!$B$6)*(L53-Inputs!$B$6))/M53)&lt;0,((((Inputs!$C$69*COS((-$B53))+Inputs!$B$69*SIN((-$B53)))-Inputs!$B$5)*(K53-Inputs!$B$5)+((Inputs!$C$69*SIN((-$B53))-Inputs!$B$69*COS((-$B53)))-Inputs!$B$6)*(L53-Inputs!$B$6))/M53)&gt;M53-Inputs!$B$40),999,(ABS((K53-Inputs!$B$5)*((Inputs!$C$69*SIN((-$B53))-Inputs!$B$69*COS((-$B53)))-Inputs!$B$6)-(L53-Inputs!$B$6)*((Inputs!$C$69*COS((-$B53))+Inputs!$B$69*SIN((-$B53)))-Inputs!$B$5))/M53)-IF(((((Inputs!$C$69*COS((-$B53))+Inputs!$B$69*SIN((-$B53)))-Inputs!$B$5)*(K53-Inputs!$B$5)+((Inputs!$C$69*SIN((-$B53))-Inputs!$B$69*COS((-$B53)))-Inputs!$B$6)*(L53-Inputs!$B$6))/M53)&lt;$B$16,$B$7/2,$B$8/2)-Inputs!$B$39),IF(OR(Inputs!$C$70=0,((((Inputs!$C$70*COS((-$B53))+Inputs!$B$70*SIN((-$B53)))-Inputs!$B$5)*(K53-Inputs!$B$5)+((Inputs!$C$70*SIN((-$B53))-Inputs!$B$70*COS((-$B53)))-Inputs!$B$6)*(L53-Inputs!$B$6))/M53)&lt;0,((((Inputs!$C$70*COS((-$B53))+Inputs!$B$70*SIN((-$B53)))-Inputs!$B$5)*(K53-Inputs!$B$5)+((Inputs!$C$70*SIN((-$B53))-Inputs!$B$70*COS((-$B53)))-Inputs!$B$6)*(L53-Inputs!$B$6))/M53)&gt;M53-Inputs!$B$40),999,(ABS((K53-Inputs!$B$5)*((Inputs!$C$70*SIN((-$B53))-Inputs!$B$70*COS((-$B53)))-Inputs!$B$6)-(L53-Inputs!$B$6)*((Inputs!$C$70*COS((-$B53))+Inputs!$B$70*SIN((-$B53)))-Inputs!$B$5))/M53)-IF(((((Inputs!$C$70*COS((-$B53))+Inputs!$B$70*SIN((-$B53)))-Inputs!$B$5)*(K53-Inputs!$B$5)+((Inputs!$C$70*SIN((-$B53))-Inputs!$B$70*COS((-$B53)))-Inputs!$B$6)*(L53-Inputs!$B$6))/M53)&lt;$B$16,$B$7/2,$B$8/2)-Inputs!$B$39),IF(OR(Inputs!$C$71=0,((((Inputs!$C$71*COS((-$B53))+Inputs!$B$71*SIN((-$B53)))-Inputs!$B$5)*(K53-Inputs!$B$5)+((Inputs!$C$71*SIN((-$B53))-Inputs!$B$71*COS((-$B53)))-Inputs!$B$6)*(L53-Inputs!$B$6))/M53)&lt;0,((((Inputs!$C$71*COS((-$B53))+Inputs!$B$71*SIN((-$B53)))-Inputs!$B$5)*(K53-Inputs!$B$5)+((Inputs!$C$71*SIN((-$B53))-Inputs!$B$71*COS((-$B53)))-Inputs!$B$6)*(L53-Inputs!$B$6))/M53)&gt;M53-Inputs!$B$40),999,(ABS((K53-Inputs!$B$5)*((Inputs!$C$71*SIN((-$B53))-Inputs!$B$71*COS((-$B53)))-Inputs!$B$6)-(L53-Inputs!$B$6)*((Inputs!$C$71*COS((-$B53))+Inputs!$B$71*SIN((-$B53)))-Inputs!$B$5))/M53)-IF(((((Inputs!$C$71*COS((-$B53))+Inputs!$B$71*SIN((-$B53)))-Inputs!$B$5)*(K53-Inputs!$B$5)+((Inputs!$C$71*SIN((-$B53))-Inputs!$B$71*COS((-$B53)))-Inputs!$B$6)*(L53-Inputs!$B$6))/M53)&lt;$B$16,$B$7/2,$B$8/2)-Inputs!$B$39),IF(OR(Inputs!$C$72=0,((((Inputs!$C$72*COS((-$B53))+Inputs!$B$72*SIN((-$B53)))-Inputs!$B$5)*(K53-Inputs!$B$5)+((Inputs!$C$72*SIN((-$B53))-Inputs!$B$72*COS((-$B53)))-Inputs!$B$6)*(L53-Inputs!$B$6))/M53)&lt;0,((((Inputs!$C$72*COS((-$B53))+Inputs!$B$72*SIN((-$B53)))-Inputs!$B$5)*(K53-Inputs!$B$5)+((Inputs!$C$72*SIN((-$B53))-Inputs!$B$72*COS((-$B53)))-Inputs!$B$6)*(L53-Inputs!$B$6))/M53)&gt;M53-Inputs!$B$40),999,(ABS((K53-Inputs!$B$5)*((Inputs!$C$72*SIN((-$B53))-Inputs!$B$72*COS((-$B53)))-Inputs!$B$6)-(L53-Inputs!$B$6)*((Inputs!$C$72*COS((-$B53))+Inputs!$B$72*SIN((-$B53)))-Inputs!$B$5))/M53)-IF(((((Inputs!$C$72*COS((-$B53))+Inputs!$B$72*SIN((-$B53)))-Inputs!$B$5)*(K53-Inputs!$B$5)+((Inputs!$C$72*SIN((-$B53))-Inputs!$B$72*COS((-$B53)))-Inputs!$B$6)*(L53-Inputs!$B$6))/M53)&lt;$B$16,$B$7/2,$B$8/2)-Inputs!$B$39))</f>
        <v>22.16720693</v>
      </c>
      <c r="P53" s="76">
        <f>IF(AND(M53&gt;=$B$14,M53&lt;=$B$15,N53&lt;=Inputs!$B$38,O53&gt;=0,$D53=1),1,0)</f>
        <v>1</v>
      </c>
      <c r="X53" s="15">
        <v>9.0</v>
      </c>
      <c r="Y53" s="22">
        <f t="shared" si="1"/>
        <v>291.8</v>
      </c>
      <c r="Z53" s="22">
        <f>Inputs!$B$38</f>
        <v>350</v>
      </c>
      <c r="AA53" s="22">
        <f t="shared" si="2"/>
        <v>36.68997111</v>
      </c>
      <c r="AB53" s="15">
        <v>0.0</v>
      </c>
    </row>
    <row r="54" ht="15.75" customHeight="1">
      <c r="A54" s="23">
        <v>2.75</v>
      </c>
      <c r="B54" s="40">
        <f t="shared" si="4"/>
        <v>0.04799655443</v>
      </c>
      <c r="C54" s="29">
        <f>MAX(Inputs!$C$68*COS($B54)+Inputs!$B$68*ABS(SIN($B54)),Inputs!$C$69*COS($B54)+Inputs!$B$69*ABS(SIN($B54)),Inputs!$C$70*COS($B54)+Inputs!$B$70*ABS(SIN($B54)),Inputs!$C$71*COS($B54)+Inputs!$B$71*ABS(SIN($B54)),Inputs!$C$72*COS($B54)+Inputs!$B$72*ABS(SIN($B54)))</f>
        <v>98.03684685</v>
      </c>
      <c r="D54" s="71">
        <f>IF(C54&lt;=Inputs!$B$38,1,0)</f>
        <v>1</v>
      </c>
      <c r="E54" s="29">
        <f>Inputs!$B$11*COS(($B54))-Inputs!$B$7*SIN(($B54))</f>
        <v>105.3402378</v>
      </c>
      <c r="F54" s="29">
        <f>Inputs!$B$11*SIN(($B54))+Inputs!$B$7*COS(($B54))</f>
        <v>-195.1707338</v>
      </c>
      <c r="G54" s="29">
        <f>SQRT((E54-Inputs!$B$5)^2+(F54-Inputs!$B$6)^2)</f>
        <v>328.7129582</v>
      </c>
      <c r="H54" s="29">
        <f>MAX(MAX(Inputs!$B$5,(Inputs!$B$5+(E54-Inputs!$B$5)*MIN(1,$B$16/G54)))+$B$7/2,MAX((Inputs!$B$5+(E54-Inputs!$B$5)*MIN(1,$B$16/G54)),E54)+Inputs!$B$41)</f>
        <v>291.8</v>
      </c>
      <c r="I54" s="29">
        <f>MIN(IF(OR(Inputs!$C$68=0,((((Inputs!$C$68*COS(($B54))+Inputs!$B$68*SIN(($B54)))-Inputs!$B$5)*(E54-Inputs!$B$5)+((Inputs!$C$68*SIN(($B54))-Inputs!$B$68*COS(($B54)))-Inputs!$B$6)*(F54-Inputs!$B$6))/G54)&lt;0,((((Inputs!$C$68*COS(($B54))+Inputs!$B$68*SIN(($B54)))-Inputs!$B$5)*(E54-Inputs!$B$5)+((Inputs!$C$68*SIN(($B54))-Inputs!$B$68*COS(($B54)))-Inputs!$B$6)*(F54-Inputs!$B$6))/G54)&gt;G54-Inputs!$B$40),999,(ABS((E54-Inputs!$B$5)*((Inputs!$C$68*SIN(($B54))-Inputs!$B$68*COS(($B54)))-Inputs!$B$6)-(F54-Inputs!$B$6)*((Inputs!$C$68*COS(($B54))+Inputs!$B$68*SIN(($B54)))-Inputs!$B$5))/G54)-IF(((((Inputs!$C$68*COS(($B54))+Inputs!$B$68*SIN(($B54)))-Inputs!$B$5)*(E54-Inputs!$B$5)+((Inputs!$C$68*SIN(($B54))-Inputs!$B$68*COS(($B54)))-Inputs!$B$6)*(F54-Inputs!$B$6))/G54)&lt;$B$16,$B$7/2,$B$8/2)-Inputs!$B$39),IF(OR(Inputs!$C$69=0,((((Inputs!$C$69*COS(($B54))+Inputs!$B$69*SIN(($B54)))-Inputs!$B$5)*(E54-Inputs!$B$5)+((Inputs!$C$69*SIN(($B54))-Inputs!$B$69*COS(($B54)))-Inputs!$B$6)*(F54-Inputs!$B$6))/G54)&lt;0,((((Inputs!$C$69*COS(($B54))+Inputs!$B$69*SIN(($B54)))-Inputs!$B$5)*(E54-Inputs!$B$5)+((Inputs!$C$69*SIN(($B54))-Inputs!$B$69*COS(($B54)))-Inputs!$B$6)*(F54-Inputs!$B$6))/G54)&gt;G54-Inputs!$B$40),999,(ABS((E54-Inputs!$B$5)*((Inputs!$C$69*SIN(($B54))-Inputs!$B$69*COS(($B54)))-Inputs!$B$6)-(F54-Inputs!$B$6)*((Inputs!$C$69*COS(($B54))+Inputs!$B$69*SIN(($B54)))-Inputs!$B$5))/G54)-IF(((((Inputs!$C$69*COS(($B54))+Inputs!$B$69*SIN(($B54)))-Inputs!$B$5)*(E54-Inputs!$B$5)+((Inputs!$C$69*SIN(($B54))-Inputs!$B$69*COS(($B54)))-Inputs!$B$6)*(F54-Inputs!$B$6))/G54)&lt;$B$16,$B$7/2,$B$8/2)-Inputs!$B$39),IF(OR(Inputs!$C$70=0,((((Inputs!$C$70*COS(($B54))+Inputs!$B$70*SIN(($B54)))-Inputs!$B$5)*(E54-Inputs!$B$5)+((Inputs!$C$70*SIN(($B54))-Inputs!$B$70*COS(($B54)))-Inputs!$B$6)*(F54-Inputs!$B$6))/G54)&lt;0,((((Inputs!$C$70*COS(($B54))+Inputs!$B$70*SIN(($B54)))-Inputs!$B$5)*(E54-Inputs!$B$5)+((Inputs!$C$70*SIN(($B54))-Inputs!$B$70*COS(($B54)))-Inputs!$B$6)*(F54-Inputs!$B$6))/G54)&gt;G54-Inputs!$B$40),999,(ABS((E54-Inputs!$B$5)*((Inputs!$C$70*SIN(($B54))-Inputs!$B$70*COS(($B54)))-Inputs!$B$6)-(F54-Inputs!$B$6)*((Inputs!$C$70*COS(($B54))+Inputs!$B$70*SIN(($B54)))-Inputs!$B$5))/G54)-IF(((((Inputs!$C$70*COS(($B54))+Inputs!$B$70*SIN(($B54)))-Inputs!$B$5)*(E54-Inputs!$B$5)+((Inputs!$C$70*SIN(($B54))-Inputs!$B$70*COS(($B54)))-Inputs!$B$6)*(F54-Inputs!$B$6))/G54)&lt;$B$16,$B$7/2,$B$8/2)-Inputs!$B$39),IF(OR(Inputs!$C$71=0,((((Inputs!$C$71*COS(($B54))+Inputs!$B$71*SIN(($B54)))-Inputs!$B$5)*(E54-Inputs!$B$5)+((Inputs!$C$71*SIN(($B54))-Inputs!$B$71*COS(($B54)))-Inputs!$B$6)*(F54-Inputs!$B$6))/G54)&lt;0,((((Inputs!$C$71*COS(($B54))+Inputs!$B$71*SIN(($B54)))-Inputs!$B$5)*(E54-Inputs!$B$5)+((Inputs!$C$71*SIN(($B54))-Inputs!$B$71*COS(($B54)))-Inputs!$B$6)*(F54-Inputs!$B$6))/G54)&gt;G54-Inputs!$B$40),999,(ABS((E54-Inputs!$B$5)*((Inputs!$C$71*SIN(($B54))-Inputs!$B$71*COS(($B54)))-Inputs!$B$6)-(F54-Inputs!$B$6)*((Inputs!$C$71*COS(($B54))+Inputs!$B$71*SIN(($B54)))-Inputs!$B$5))/G54)-IF(((((Inputs!$C$71*COS(($B54))+Inputs!$B$71*SIN(($B54)))-Inputs!$B$5)*(E54-Inputs!$B$5)+((Inputs!$C$71*SIN(($B54))-Inputs!$B$71*COS(($B54)))-Inputs!$B$6)*(F54-Inputs!$B$6))/G54)&lt;$B$16,$B$7/2,$B$8/2)-Inputs!$B$39),IF(OR(Inputs!$C$72=0,((((Inputs!$C$72*COS(($B54))+Inputs!$B$72*SIN(($B54)))-Inputs!$B$5)*(E54-Inputs!$B$5)+((Inputs!$C$72*SIN(($B54))-Inputs!$B$72*COS(($B54)))-Inputs!$B$6)*(F54-Inputs!$B$6))/G54)&lt;0,((((Inputs!$C$72*COS(($B54))+Inputs!$B$72*SIN(($B54)))-Inputs!$B$5)*(E54-Inputs!$B$5)+((Inputs!$C$72*SIN(($B54))-Inputs!$B$72*COS(($B54)))-Inputs!$B$6)*(F54-Inputs!$B$6))/G54)&gt;G54-Inputs!$B$40),999,(ABS((E54-Inputs!$B$5)*((Inputs!$C$72*SIN(($B54))-Inputs!$B$72*COS(($B54)))-Inputs!$B$6)-(F54-Inputs!$B$6)*((Inputs!$C$72*COS(($B54))+Inputs!$B$72*SIN(($B54)))-Inputs!$B$5))/G54)-IF(((((Inputs!$C$72*COS(($B54))+Inputs!$B$72*SIN(($B54)))-Inputs!$B$5)*(E54-Inputs!$B$5)+((Inputs!$C$72*SIN(($B54))-Inputs!$B$72*COS(($B54)))-Inputs!$B$6)*(F54-Inputs!$B$6))/G54)&lt;$B$16,$B$7/2,$B$8/2)-Inputs!$B$39))</f>
        <v>28.86294454</v>
      </c>
      <c r="J54" s="76">
        <f>IF(AND(G54&gt;=$B$14,G54&lt;=$B$15,H54&lt;=Inputs!$B$38,I54&gt;=0,$D54=1),1,0)</f>
        <v>1</v>
      </c>
      <c r="K54" s="29">
        <f>Inputs!$B$11*COS((-$B54))-Inputs!$B$7*SIN((-$B54))</f>
        <v>86.14898638</v>
      </c>
      <c r="L54" s="29">
        <f>Inputs!$B$11*SIN((-$B54))+Inputs!$B$7*COS((-$B54))</f>
        <v>-204.3686208</v>
      </c>
      <c r="M54" s="29">
        <f>SQRT((K54-Inputs!$B$5)^2+(L54-Inputs!$B$6)^2)</f>
        <v>345.6695127</v>
      </c>
      <c r="N54" s="29">
        <f>MAX(MAX(Inputs!$B$5,(Inputs!$B$5+(K54-Inputs!$B$5)*MIN(1,$B$16/M54)))+$B$7/2,MAX((Inputs!$B$5+(K54-Inputs!$B$5)*MIN(1,$B$16/M54)),K54)+Inputs!$B$41)</f>
        <v>291.8</v>
      </c>
      <c r="O54" s="29">
        <f>MIN(IF(OR(Inputs!$C$68=0,((((Inputs!$C$68*COS((-$B54))+Inputs!$B$68*SIN((-$B54)))-Inputs!$B$5)*(K54-Inputs!$B$5)+((Inputs!$C$68*SIN((-$B54))-Inputs!$B$68*COS((-$B54)))-Inputs!$B$6)*(L54-Inputs!$B$6))/M54)&lt;0,((((Inputs!$C$68*COS((-$B54))+Inputs!$B$68*SIN((-$B54)))-Inputs!$B$5)*(K54-Inputs!$B$5)+((Inputs!$C$68*SIN((-$B54))-Inputs!$B$68*COS((-$B54)))-Inputs!$B$6)*(L54-Inputs!$B$6))/M54)&gt;M54-Inputs!$B$40),999,(ABS((K54-Inputs!$B$5)*((Inputs!$C$68*SIN((-$B54))-Inputs!$B$68*COS((-$B54)))-Inputs!$B$6)-(L54-Inputs!$B$6)*((Inputs!$C$68*COS((-$B54))+Inputs!$B$68*SIN((-$B54)))-Inputs!$B$5))/M54)-IF(((((Inputs!$C$68*COS((-$B54))+Inputs!$B$68*SIN((-$B54)))-Inputs!$B$5)*(K54-Inputs!$B$5)+((Inputs!$C$68*SIN((-$B54))-Inputs!$B$68*COS((-$B54)))-Inputs!$B$6)*(L54-Inputs!$B$6))/M54)&lt;$B$16,$B$7/2,$B$8/2)-Inputs!$B$39),IF(OR(Inputs!$C$69=0,((((Inputs!$C$69*COS((-$B54))+Inputs!$B$69*SIN((-$B54)))-Inputs!$B$5)*(K54-Inputs!$B$5)+((Inputs!$C$69*SIN((-$B54))-Inputs!$B$69*COS((-$B54)))-Inputs!$B$6)*(L54-Inputs!$B$6))/M54)&lt;0,((((Inputs!$C$69*COS((-$B54))+Inputs!$B$69*SIN((-$B54)))-Inputs!$B$5)*(K54-Inputs!$B$5)+((Inputs!$C$69*SIN((-$B54))-Inputs!$B$69*COS((-$B54)))-Inputs!$B$6)*(L54-Inputs!$B$6))/M54)&gt;M54-Inputs!$B$40),999,(ABS((K54-Inputs!$B$5)*((Inputs!$C$69*SIN((-$B54))-Inputs!$B$69*COS((-$B54)))-Inputs!$B$6)-(L54-Inputs!$B$6)*((Inputs!$C$69*COS((-$B54))+Inputs!$B$69*SIN((-$B54)))-Inputs!$B$5))/M54)-IF(((((Inputs!$C$69*COS((-$B54))+Inputs!$B$69*SIN((-$B54)))-Inputs!$B$5)*(K54-Inputs!$B$5)+((Inputs!$C$69*SIN((-$B54))-Inputs!$B$69*COS((-$B54)))-Inputs!$B$6)*(L54-Inputs!$B$6))/M54)&lt;$B$16,$B$7/2,$B$8/2)-Inputs!$B$39),IF(OR(Inputs!$C$70=0,((((Inputs!$C$70*COS((-$B54))+Inputs!$B$70*SIN((-$B54)))-Inputs!$B$5)*(K54-Inputs!$B$5)+((Inputs!$C$70*SIN((-$B54))-Inputs!$B$70*COS((-$B54)))-Inputs!$B$6)*(L54-Inputs!$B$6))/M54)&lt;0,((((Inputs!$C$70*COS((-$B54))+Inputs!$B$70*SIN((-$B54)))-Inputs!$B$5)*(K54-Inputs!$B$5)+((Inputs!$C$70*SIN((-$B54))-Inputs!$B$70*COS((-$B54)))-Inputs!$B$6)*(L54-Inputs!$B$6))/M54)&gt;M54-Inputs!$B$40),999,(ABS((K54-Inputs!$B$5)*((Inputs!$C$70*SIN((-$B54))-Inputs!$B$70*COS((-$B54)))-Inputs!$B$6)-(L54-Inputs!$B$6)*((Inputs!$C$70*COS((-$B54))+Inputs!$B$70*SIN((-$B54)))-Inputs!$B$5))/M54)-IF(((((Inputs!$C$70*COS((-$B54))+Inputs!$B$70*SIN((-$B54)))-Inputs!$B$5)*(K54-Inputs!$B$5)+((Inputs!$C$70*SIN((-$B54))-Inputs!$B$70*COS((-$B54)))-Inputs!$B$6)*(L54-Inputs!$B$6))/M54)&lt;$B$16,$B$7/2,$B$8/2)-Inputs!$B$39),IF(OR(Inputs!$C$71=0,((((Inputs!$C$71*COS((-$B54))+Inputs!$B$71*SIN((-$B54)))-Inputs!$B$5)*(K54-Inputs!$B$5)+((Inputs!$C$71*SIN((-$B54))-Inputs!$B$71*COS((-$B54)))-Inputs!$B$6)*(L54-Inputs!$B$6))/M54)&lt;0,((((Inputs!$C$71*COS((-$B54))+Inputs!$B$71*SIN((-$B54)))-Inputs!$B$5)*(K54-Inputs!$B$5)+((Inputs!$C$71*SIN((-$B54))-Inputs!$B$71*COS((-$B54)))-Inputs!$B$6)*(L54-Inputs!$B$6))/M54)&gt;M54-Inputs!$B$40),999,(ABS((K54-Inputs!$B$5)*((Inputs!$C$71*SIN((-$B54))-Inputs!$B$71*COS((-$B54)))-Inputs!$B$6)-(L54-Inputs!$B$6)*((Inputs!$C$71*COS((-$B54))+Inputs!$B$71*SIN((-$B54)))-Inputs!$B$5))/M54)-IF(((((Inputs!$C$71*COS((-$B54))+Inputs!$B$71*SIN((-$B54)))-Inputs!$B$5)*(K54-Inputs!$B$5)+((Inputs!$C$71*SIN((-$B54))-Inputs!$B$71*COS((-$B54)))-Inputs!$B$6)*(L54-Inputs!$B$6))/M54)&lt;$B$16,$B$7/2,$B$8/2)-Inputs!$B$39),IF(OR(Inputs!$C$72=0,((((Inputs!$C$72*COS((-$B54))+Inputs!$B$72*SIN((-$B54)))-Inputs!$B$5)*(K54-Inputs!$B$5)+((Inputs!$C$72*SIN((-$B54))-Inputs!$B$72*COS((-$B54)))-Inputs!$B$6)*(L54-Inputs!$B$6))/M54)&lt;0,((((Inputs!$C$72*COS((-$B54))+Inputs!$B$72*SIN((-$B54)))-Inputs!$B$5)*(K54-Inputs!$B$5)+((Inputs!$C$72*SIN((-$B54))-Inputs!$B$72*COS((-$B54)))-Inputs!$B$6)*(L54-Inputs!$B$6))/M54)&gt;M54-Inputs!$B$40),999,(ABS((K54-Inputs!$B$5)*((Inputs!$C$72*SIN((-$B54))-Inputs!$B$72*COS((-$B54)))-Inputs!$B$6)-(L54-Inputs!$B$6)*((Inputs!$C$72*COS((-$B54))+Inputs!$B$72*SIN((-$B54)))-Inputs!$B$5))/M54)-IF(((((Inputs!$C$72*COS((-$B54))+Inputs!$B$72*SIN((-$B54)))-Inputs!$B$5)*(K54-Inputs!$B$5)+((Inputs!$C$72*SIN((-$B54))-Inputs!$B$72*COS((-$B54)))-Inputs!$B$6)*(L54-Inputs!$B$6))/M54)&lt;$B$16,$B$7/2,$B$8/2)-Inputs!$B$39))</f>
        <v>21.84579868</v>
      </c>
      <c r="P54" s="76">
        <f>IF(AND(M54&gt;=$B$14,M54&lt;=$B$15,N54&lt;=Inputs!$B$38,O54&gt;=0,$D54=1),1,0)</f>
        <v>1</v>
      </c>
      <c r="X54" s="15">
        <v>9.5</v>
      </c>
      <c r="Y54" s="22">
        <f t="shared" si="1"/>
        <v>291.8</v>
      </c>
      <c r="Z54" s="22">
        <f>Inputs!$B$38</f>
        <v>350</v>
      </c>
      <c r="AA54" s="22">
        <f t="shared" si="2"/>
        <v>37.3089005</v>
      </c>
      <c r="AB54" s="15">
        <v>0.0</v>
      </c>
    </row>
    <row r="55" ht="15.75" customHeight="1">
      <c r="A55" s="23">
        <v>3.0</v>
      </c>
      <c r="B55" s="40">
        <f t="shared" si="4"/>
        <v>0.05235987756</v>
      </c>
      <c r="C55" s="29">
        <f>MAX(Inputs!$C$68*COS($B55)+Inputs!$B$68*ABS(SIN($B55)),Inputs!$C$69*COS($B55)+Inputs!$B$69*ABS(SIN($B55)),Inputs!$C$70*COS($B55)+Inputs!$B$70*ABS(SIN($B55)),Inputs!$C$71*COS($B55)+Inputs!$B$71*ABS(SIN($B55)),Inputs!$C$72*COS($B55)+Inputs!$B$72*ABS(SIN($B55)))</f>
        <v>99.75692761</v>
      </c>
      <c r="D55" s="71">
        <f>IF(C55&lt;=Inputs!$B$38,1,0)</f>
        <v>1</v>
      </c>
      <c r="E55" s="29">
        <f>Inputs!$B$11*COS(($B55))-Inputs!$B$7*SIN(($B55))</f>
        <v>106.1908253</v>
      </c>
      <c r="F55" s="29">
        <f>Inputs!$B$11*SIN(($B55))+Inputs!$B$7*COS(($B55))</f>
        <v>-194.7092439</v>
      </c>
      <c r="G55" s="29">
        <f>SQRT((E55-Inputs!$B$5)^2+(F55-Inputs!$B$6)^2)</f>
        <v>327.9247126</v>
      </c>
      <c r="H55" s="29">
        <f>MAX(MAX(Inputs!$B$5,(Inputs!$B$5+(E55-Inputs!$B$5)*MIN(1,$B$16/G55)))+$B$7/2,MAX((Inputs!$B$5+(E55-Inputs!$B$5)*MIN(1,$B$16/G55)),E55)+Inputs!$B$41)</f>
        <v>291.8</v>
      </c>
      <c r="I55" s="29">
        <f>MIN(IF(OR(Inputs!$C$68=0,((((Inputs!$C$68*COS(($B55))+Inputs!$B$68*SIN(($B55)))-Inputs!$B$5)*(E55-Inputs!$B$5)+((Inputs!$C$68*SIN(($B55))-Inputs!$B$68*COS(($B55)))-Inputs!$B$6)*(F55-Inputs!$B$6))/G55)&lt;0,((((Inputs!$C$68*COS(($B55))+Inputs!$B$68*SIN(($B55)))-Inputs!$B$5)*(E55-Inputs!$B$5)+((Inputs!$C$68*SIN(($B55))-Inputs!$B$68*COS(($B55)))-Inputs!$B$6)*(F55-Inputs!$B$6))/G55)&gt;G55-Inputs!$B$40),999,(ABS((E55-Inputs!$B$5)*((Inputs!$C$68*SIN(($B55))-Inputs!$B$68*COS(($B55)))-Inputs!$B$6)-(F55-Inputs!$B$6)*((Inputs!$C$68*COS(($B55))+Inputs!$B$68*SIN(($B55)))-Inputs!$B$5))/G55)-IF(((((Inputs!$C$68*COS(($B55))+Inputs!$B$68*SIN(($B55)))-Inputs!$B$5)*(E55-Inputs!$B$5)+((Inputs!$C$68*SIN(($B55))-Inputs!$B$68*COS(($B55)))-Inputs!$B$6)*(F55-Inputs!$B$6))/G55)&lt;$B$16,$B$7/2,$B$8/2)-Inputs!$B$39),IF(OR(Inputs!$C$69=0,((((Inputs!$C$69*COS(($B55))+Inputs!$B$69*SIN(($B55)))-Inputs!$B$5)*(E55-Inputs!$B$5)+((Inputs!$C$69*SIN(($B55))-Inputs!$B$69*COS(($B55)))-Inputs!$B$6)*(F55-Inputs!$B$6))/G55)&lt;0,((((Inputs!$C$69*COS(($B55))+Inputs!$B$69*SIN(($B55)))-Inputs!$B$5)*(E55-Inputs!$B$5)+((Inputs!$C$69*SIN(($B55))-Inputs!$B$69*COS(($B55)))-Inputs!$B$6)*(F55-Inputs!$B$6))/G55)&gt;G55-Inputs!$B$40),999,(ABS((E55-Inputs!$B$5)*((Inputs!$C$69*SIN(($B55))-Inputs!$B$69*COS(($B55)))-Inputs!$B$6)-(F55-Inputs!$B$6)*((Inputs!$C$69*COS(($B55))+Inputs!$B$69*SIN(($B55)))-Inputs!$B$5))/G55)-IF(((((Inputs!$C$69*COS(($B55))+Inputs!$B$69*SIN(($B55)))-Inputs!$B$5)*(E55-Inputs!$B$5)+((Inputs!$C$69*SIN(($B55))-Inputs!$B$69*COS(($B55)))-Inputs!$B$6)*(F55-Inputs!$B$6))/G55)&lt;$B$16,$B$7/2,$B$8/2)-Inputs!$B$39),IF(OR(Inputs!$C$70=0,((((Inputs!$C$70*COS(($B55))+Inputs!$B$70*SIN(($B55)))-Inputs!$B$5)*(E55-Inputs!$B$5)+((Inputs!$C$70*SIN(($B55))-Inputs!$B$70*COS(($B55)))-Inputs!$B$6)*(F55-Inputs!$B$6))/G55)&lt;0,((((Inputs!$C$70*COS(($B55))+Inputs!$B$70*SIN(($B55)))-Inputs!$B$5)*(E55-Inputs!$B$5)+((Inputs!$C$70*SIN(($B55))-Inputs!$B$70*COS(($B55)))-Inputs!$B$6)*(F55-Inputs!$B$6))/G55)&gt;G55-Inputs!$B$40),999,(ABS((E55-Inputs!$B$5)*((Inputs!$C$70*SIN(($B55))-Inputs!$B$70*COS(($B55)))-Inputs!$B$6)-(F55-Inputs!$B$6)*((Inputs!$C$70*COS(($B55))+Inputs!$B$70*SIN(($B55)))-Inputs!$B$5))/G55)-IF(((((Inputs!$C$70*COS(($B55))+Inputs!$B$70*SIN(($B55)))-Inputs!$B$5)*(E55-Inputs!$B$5)+((Inputs!$C$70*SIN(($B55))-Inputs!$B$70*COS(($B55)))-Inputs!$B$6)*(F55-Inputs!$B$6))/G55)&lt;$B$16,$B$7/2,$B$8/2)-Inputs!$B$39),IF(OR(Inputs!$C$71=0,((((Inputs!$C$71*COS(($B55))+Inputs!$B$71*SIN(($B55)))-Inputs!$B$5)*(E55-Inputs!$B$5)+((Inputs!$C$71*SIN(($B55))-Inputs!$B$71*COS(($B55)))-Inputs!$B$6)*(F55-Inputs!$B$6))/G55)&lt;0,((((Inputs!$C$71*COS(($B55))+Inputs!$B$71*SIN(($B55)))-Inputs!$B$5)*(E55-Inputs!$B$5)+((Inputs!$C$71*SIN(($B55))-Inputs!$B$71*COS(($B55)))-Inputs!$B$6)*(F55-Inputs!$B$6))/G55)&gt;G55-Inputs!$B$40),999,(ABS((E55-Inputs!$B$5)*((Inputs!$C$71*SIN(($B55))-Inputs!$B$71*COS(($B55)))-Inputs!$B$6)-(F55-Inputs!$B$6)*((Inputs!$C$71*COS(($B55))+Inputs!$B$71*SIN(($B55)))-Inputs!$B$5))/G55)-IF(((((Inputs!$C$71*COS(($B55))+Inputs!$B$71*SIN(($B55)))-Inputs!$B$5)*(E55-Inputs!$B$5)+((Inputs!$C$71*SIN(($B55))-Inputs!$B$71*COS(($B55)))-Inputs!$B$6)*(F55-Inputs!$B$6))/G55)&lt;$B$16,$B$7/2,$B$8/2)-Inputs!$B$39),IF(OR(Inputs!$C$72=0,((((Inputs!$C$72*COS(($B55))+Inputs!$B$72*SIN(($B55)))-Inputs!$B$5)*(E55-Inputs!$B$5)+((Inputs!$C$72*SIN(($B55))-Inputs!$B$72*COS(($B55)))-Inputs!$B$6)*(F55-Inputs!$B$6))/G55)&lt;0,((((Inputs!$C$72*COS(($B55))+Inputs!$B$72*SIN(($B55)))-Inputs!$B$5)*(E55-Inputs!$B$5)+((Inputs!$C$72*SIN(($B55))-Inputs!$B$72*COS(($B55)))-Inputs!$B$6)*(F55-Inputs!$B$6))/G55)&gt;G55-Inputs!$B$40),999,(ABS((E55-Inputs!$B$5)*((Inputs!$C$72*SIN(($B55))-Inputs!$B$72*COS(($B55)))-Inputs!$B$6)-(F55-Inputs!$B$6)*((Inputs!$C$72*COS(($B55))+Inputs!$B$72*SIN(($B55)))-Inputs!$B$5))/G55)-IF(((((Inputs!$C$72*COS(($B55))+Inputs!$B$72*SIN(($B55)))-Inputs!$B$5)*(E55-Inputs!$B$5)+((Inputs!$C$72*SIN(($B55))-Inputs!$B$72*COS(($B55)))-Inputs!$B$6)*(F55-Inputs!$B$6))/G55)&lt;$B$16,$B$7/2,$B$8/2)-Inputs!$B$39))</f>
        <v>29.17912956</v>
      </c>
      <c r="J55" s="76">
        <f>IF(AND(G55&gt;=$B$14,G55&lt;=$B$15,H55&lt;=Inputs!$B$38,I55&gt;=0,$D55=1),1,0)</f>
        <v>1</v>
      </c>
      <c r="K55" s="29">
        <f>Inputs!$B$11*COS((-$B55))-Inputs!$B$7*SIN((-$B55))</f>
        <v>85.25644281</v>
      </c>
      <c r="L55" s="29">
        <f>Inputs!$B$11*SIN((-$B55))+Inputs!$B$7*COS((-$B55))</f>
        <v>-204.74257</v>
      </c>
      <c r="M55" s="29">
        <f>SQRT((K55-Inputs!$B$5)^2+(L55-Inputs!$B$6)^2)</f>
        <v>346.4223919</v>
      </c>
      <c r="N55" s="29">
        <f>MAX(MAX(Inputs!$B$5,(Inputs!$B$5+(K55-Inputs!$B$5)*MIN(1,$B$16/M55)))+$B$7/2,MAX((Inputs!$B$5+(K55-Inputs!$B$5)*MIN(1,$B$16/M55)),K55)+Inputs!$B$41)</f>
        <v>291.8</v>
      </c>
      <c r="O55" s="29">
        <f>MIN(IF(OR(Inputs!$C$68=0,((((Inputs!$C$68*COS((-$B55))+Inputs!$B$68*SIN((-$B55)))-Inputs!$B$5)*(K55-Inputs!$B$5)+((Inputs!$C$68*SIN((-$B55))-Inputs!$B$68*COS((-$B55)))-Inputs!$B$6)*(L55-Inputs!$B$6))/M55)&lt;0,((((Inputs!$C$68*COS((-$B55))+Inputs!$B$68*SIN((-$B55)))-Inputs!$B$5)*(K55-Inputs!$B$5)+((Inputs!$C$68*SIN((-$B55))-Inputs!$B$68*COS((-$B55)))-Inputs!$B$6)*(L55-Inputs!$B$6))/M55)&gt;M55-Inputs!$B$40),999,(ABS((K55-Inputs!$B$5)*((Inputs!$C$68*SIN((-$B55))-Inputs!$B$68*COS((-$B55)))-Inputs!$B$6)-(L55-Inputs!$B$6)*((Inputs!$C$68*COS((-$B55))+Inputs!$B$68*SIN((-$B55)))-Inputs!$B$5))/M55)-IF(((((Inputs!$C$68*COS((-$B55))+Inputs!$B$68*SIN((-$B55)))-Inputs!$B$5)*(K55-Inputs!$B$5)+((Inputs!$C$68*SIN((-$B55))-Inputs!$B$68*COS((-$B55)))-Inputs!$B$6)*(L55-Inputs!$B$6))/M55)&lt;$B$16,$B$7/2,$B$8/2)-Inputs!$B$39),IF(OR(Inputs!$C$69=0,((((Inputs!$C$69*COS((-$B55))+Inputs!$B$69*SIN((-$B55)))-Inputs!$B$5)*(K55-Inputs!$B$5)+((Inputs!$C$69*SIN((-$B55))-Inputs!$B$69*COS((-$B55)))-Inputs!$B$6)*(L55-Inputs!$B$6))/M55)&lt;0,((((Inputs!$C$69*COS((-$B55))+Inputs!$B$69*SIN((-$B55)))-Inputs!$B$5)*(K55-Inputs!$B$5)+((Inputs!$C$69*SIN((-$B55))-Inputs!$B$69*COS((-$B55)))-Inputs!$B$6)*(L55-Inputs!$B$6))/M55)&gt;M55-Inputs!$B$40),999,(ABS((K55-Inputs!$B$5)*((Inputs!$C$69*SIN((-$B55))-Inputs!$B$69*COS((-$B55)))-Inputs!$B$6)-(L55-Inputs!$B$6)*((Inputs!$C$69*COS((-$B55))+Inputs!$B$69*SIN((-$B55)))-Inputs!$B$5))/M55)-IF(((((Inputs!$C$69*COS((-$B55))+Inputs!$B$69*SIN((-$B55)))-Inputs!$B$5)*(K55-Inputs!$B$5)+((Inputs!$C$69*SIN((-$B55))-Inputs!$B$69*COS((-$B55)))-Inputs!$B$6)*(L55-Inputs!$B$6))/M55)&lt;$B$16,$B$7/2,$B$8/2)-Inputs!$B$39),IF(OR(Inputs!$C$70=0,((((Inputs!$C$70*COS((-$B55))+Inputs!$B$70*SIN((-$B55)))-Inputs!$B$5)*(K55-Inputs!$B$5)+((Inputs!$C$70*SIN((-$B55))-Inputs!$B$70*COS((-$B55)))-Inputs!$B$6)*(L55-Inputs!$B$6))/M55)&lt;0,((((Inputs!$C$70*COS((-$B55))+Inputs!$B$70*SIN((-$B55)))-Inputs!$B$5)*(K55-Inputs!$B$5)+((Inputs!$C$70*SIN((-$B55))-Inputs!$B$70*COS((-$B55)))-Inputs!$B$6)*(L55-Inputs!$B$6))/M55)&gt;M55-Inputs!$B$40),999,(ABS((K55-Inputs!$B$5)*((Inputs!$C$70*SIN((-$B55))-Inputs!$B$70*COS((-$B55)))-Inputs!$B$6)-(L55-Inputs!$B$6)*((Inputs!$C$70*COS((-$B55))+Inputs!$B$70*SIN((-$B55)))-Inputs!$B$5))/M55)-IF(((((Inputs!$C$70*COS((-$B55))+Inputs!$B$70*SIN((-$B55)))-Inputs!$B$5)*(K55-Inputs!$B$5)+((Inputs!$C$70*SIN((-$B55))-Inputs!$B$70*COS((-$B55)))-Inputs!$B$6)*(L55-Inputs!$B$6))/M55)&lt;$B$16,$B$7/2,$B$8/2)-Inputs!$B$39),IF(OR(Inputs!$C$71=0,((((Inputs!$C$71*COS((-$B55))+Inputs!$B$71*SIN((-$B55)))-Inputs!$B$5)*(K55-Inputs!$B$5)+((Inputs!$C$71*SIN((-$B55))-Inputs!$B$71*COS((-$B55)))-Inputs!$B$6)*(L55-Inputs!$B$6))/M55)&lt;0,((((Inputs!$C$71*COS((-$B55))+Inputs!$B$71*SIN((-$B55)))-Inputs!$B$5)*(K55-Inputs!$B$5)+((Inputs!$C$71*SIN((-$B55))-Inputs!$B$71*COS((-$B55)))-Inputs!$B$6)*(L55-Inputs!$B$6))/M55)&gt;M55-Inputs!$B$40),999,(ABS((K55-Inputs!$B$5)*((Inputs!$C$71*SIN((-$B55))-Inputs!$B$71*COS((-$B55)))-Inputs!$B$6)-(L55-Inputs!$B$6)*((Inputs!$C$71*COS((-$B55))+Inputs!$B$71*SIN((-$B55)))-Inputs!$B$5))/M55)-IF(((((Inputs!$C$71*COS((-$B55))+Inputs!$B$71*SIN((-$B55)))-Inputs!$B$5)*(K55-Inputs!$B$5)+((Inputs!$C$71*SIN((-$B55))-Inputs!$B$71*COS((-$B55)))-Inputs!$B$6)*(L55-Inputs!$B$6))/M55)&lt;$B$16,$B$7/2,$B$8/2)-Inputs!$B$39),IF(OR(Inputs!$C$72=0,((((Inputs!$C$72*COS((-$B55))+Inputs!$B$72*SIN((-$B55)))-Inputs!$B$5)*(K55-Inputs!$B$5)+((Inputs!$C$72*SIN((-$B55))-Inputs!$B$72*COS((-$B55)))-Inputs!$B$6)*(L55-Inputs!$B$6))/M55)&lt;0,((((Inputs!$C$72*COS((-$B55))+Inputs!$B$72*SIN((-$B55)))-Inputs!$B$5)*(K55-Inputs!$B$5)+((Inputs!$C$72*SIN((-$B55))-Inputs!$B$72*COS((-$B55)))-Inputs!$B$6)*(L55-Inputs!$B$6))/M55)&gt;M55-Inputs!$B$40),999,(ABS((K55-Inputs!$B$5)*((Inputs!$C$72*SIN((-$B55))-Inputs!$B$72*COS((-$B55)))-Inputs!$B$6)-(L55-Inputs!$B$6)*((Inputs!$C$72*COS((-$B55))+Inputs!$B$72*SIN((-$B55)))-Inputs!$B$5))/M55)-IF(((((Inputs!$C$72*COS((-$B55))+Inputs!$B$72*SIN((-$B55)))-Inputs!$B$5)*(K55-Inputs!$B$5)+((Inputs!$C$72*SIN((-$B55))-Inputs!$B$72*COS((-$B55)))-Inputs!$B$6)*(L55-Inputs!$B$6))/M55)&lt;$B$16,$B$7/2,$B$8/2)-Inputs!$B$39))</f>
        <v>21.52416625</v>
      </c>
      <c r="P55" s="76">
        <f>IF(AND(M55&gt;=$B$14,M55&lt;=$B$15,N55&lt;=Inputs!$B$38,O55&gt;=0,$D55=1),1,0)</f>
        <v>1</v>
      </c>
      <c r="X55" s="15">
        <v>10.0</v>
      </c>
      <c r="Y55" s="22">
        <f t="shared" si="1"/>
        <v>291.8</v>
      </c>
      <c r="Z55" s="22">
        <f>Inputs!$B$38</f>
        <v>350</v>
      </c>
      <c r="AA55" s="22">
        <f t="shared" si="2"/>
        <v>37.92671804</v>
      </c>
      <c r="AB55" s="15">
        <v>0.0</v>
      </c>
    </row>
    <row r="56" ht="15.75" customHeight="1">
      <c r="A56" s="23">
        <v>3.25</v>
      </c>
      <c r="B56" s="40">
        <f t="shared" si="4"/>
        <v>0.05672320069</v>
      </c>
      <c r="C56" s="29">
        <f>MAX(Inputs!$C$68*COS($B56)+Inputs!$B$68*ABS(SIN($B56)),Inputs!$C$69*COS($B56)+Inputs!$B$69*ABS(SIN($B56)),Inputs!$C$70*COS($B56)+Inputs!$B$70*ABS(SIN($B56)),Inputs!$C$71*COS($B56)+Inputs!$B$71*ABS(SIN($B56)),Inputs!$C$72*COS($B56)+Inputs!$B$72*ABS(SIN($B56)))</f>
        <v>101.4751091</v>
      </c>
      <c r="D56" s="71">
        <f>IF(C56&lt;=Inputs!$B$38,1,0)</f>
        <v>1</v>
      </c>
      <c r="E56" s="29">
        <f>Inputs!$B$11*COS(($B56))-Inputs!$B$7*SIN(($B56))</f>
        <v>107.0393911</v>
      </c>
      <c r="F56" s="29">
        <f>Inputs!$B$11*SIN(($B56))+Inputs!$B$7*COS(($B56))</f>
        <v>-194.244047</v>
      </c>
      <c r="G56" s="29">
        <f>SQRT((E56-Inputs!$B$5)^2+(F56-Inputs!$B$6)^2)</f>
        <v>327.1349796</v>
      </c>
      <c r="H56" s="29">
        <f>MAX(MAX(Inputs!$B$5,(Inputs!$B$5+(E56-Inputs!$B$5)*MIN(1,$B$16/G56)))+$B$7/2,MAX((Inputs!$B$5+(E56-Inputs!$B$5)*MIN(1,$B$16/G56)),E56)+Inputs!$B$41)</f>
        <v>291.8</v>
      </c>
      <c r="I56" s="29">
        <f>MIN(IF(OR(Inputs!$C$68=0,((((Inputs!$C$68*COS(($B56))+Inputs!$B$68*SIN(($B56)))-Inputs!$B$5)*(E56-Inputs!$B$5)+((Inputs!$C$68*SIN(($B56))-Inputs!$B$68*COS(($B56)))-Inputs!$B$6)*(F56-Inputs!$B$6))/G56)&lt;0,((((Inputs!$C$68*COS(($B56))+Inputs!$B$68*SIN(($B56)))-Inputs!$B$5)*(E56-Inputs!$B$5)+((Inputs!$C$68*SIN(($B56))-Inputs!$B$68*COS(($B56)))-Inputs!$B$6)*(F56-Inputs!$B$6))/G56)&gt;G56-Inputs!$B$40),999,(ABS((E56-Inputs!$B$5)*((Inputs!$C$68*SIN(($B56))-Inputs!$B$68*COS(($B56)))-Inputs!$B$6)-(F56-Inputs!$B$6)*((Inputs!$C$68*COS(($B56))+Inputs!$B$68*SIN(($B56)))-Inputs!$B$5))/G56)-IF(((((Inputs!$C$68*COS(($B56))+Inputs!$B$68*SIN(($B56)))-Inputs!$B$5)*(E56-Inputs!$B$5)+((Inputs!$C$68*SIN(($B56))-Inputs!$B$68*COS(($B56)))-Inputs!$B$6)*(F56-Inputs!$B$6))/G56)&lt;$B$16,$B$7/2,$B$8/2)-Inputs!$B$39),IF(OR(Inputs!$C$69=0,((((Inputs!$C$69*COS(($B56))+Inputs!$B$69*SIN(($B56)))-Inputs!$B$5)*(E56-Inputs!$B$5)+((Inputs!$C$69*SIN(($B56))-Inputs!$B$69*COS(($B56)))-Inputs!$B$6)*(F56-Inputs!$B$6))/G56)&lt;0,((((Inputs!$C$69*COS(($B56))+Inputs!$B$69*SIN(($B56)))-Inputs!$B$5)*(E56-Inputs!$B$5)+((Inputs!$C$69*SIN(($B56))-Inputs!$B$69*COS(($B56)))-Inputs!$B$6)*(F56-Inputs!$B$6))/G56)&gt;G56-Inputs!$B$40),999,(ABS((E56-Inputs!$B$5)*((Inputs!$C$69*SIN(($B56))-Inputs!$B$69*COS(($B56)))-Inputs!$B$6)-(F56-Inputs!$B$6)*((Inputs!$C$69*COS(($B56))+Inputs!$B$69*SIN(($B56)))-Inputs!$B$5))/G56)-IF(((((Inputs!$C$69*COS(($B56))+Inputs!$B$69*SIN(($B56)))-Inputs!$B$5)*(E56-Inputs!$B$5)+((Inputs!$C$69*SIN(($B56))-Inputs!$B$69*COS(($B56)))-Inputs!$B$6)*(F56-Inputs!$B$6))/G56)&lt;$B$16,$B$7/2,$B$8/2)-Inputs!$B$39),IF(OR(Inputs!$C$70=0,((((Inputs!$C$70*COS(($B56))+Inputs!$B$70*SIN(($B56)))-Inputs!$B$5)*(E56-Inputs!$B$5)+((Inputs!$C$70*SIN(($B56))-Inputs!$B$70*COS(($B56)))-Inputs!$B$6)*(F56-Inputs!$B$6))/G56)&lt;0,((((Inputs!$C$70*COS(($B56))+Inputs!$B$70*SIN(($B56)))-Inputs!$B$5)*(E56-Inputs!$B$5)+((Inputs!$C$70*SIN(($B56))-Inputs!$B$70*COS(($B56)))-Inputs!$B$6)*(F56-Inputs!$B$6))/G56)&gt;G56-Inputs!$B$40),999,(ABS((E56-Inputs!$B$5)*((Inputs!$C$70*SIN(($B56))-Inputs!$B$70*COS(($B56)))-Inputs!$B$6)-(F56-Inputs!$B$6)*((Inputs!$C$70*COS(($B56))+Inputs!$B$70*SIN(($B56)))-Inputs!$B$5))/G56)-IF(((((Inputs!$C$70*COS(($B56))+Inputs!$B$70*SIN(($B56)))-Inputs!$B$5)*(E56-Inputs!$B$5)+((Inputs!$C$70*SIN(($B56))-Inputs!$B$70*COS(($B56)))-Inputs!$B$6)*(F56-Inputs!$B$6))/G56)&lt;$B$16,$B$7/2,$B$8/2)-Inputs!$B$39),IF(OR(Inputs!$C$71=0,((((Inputs!$C$71*COS(($B56))+Inputs!$B$71*SIN(($B56)))-Inputs!$B$5)*(E56-Inputs!$B$5)+((Inputs!$C$71*SIN(($B56))-Inputs!$B$71*COS(($B56)))-Inputs!$B$6)*(F56-Inputs!$B$6))/G56)&lt;0,((((Inputs!$C$71*COS(($B56))+Inputs!$B$71*SIN(($B56)))-Inputs!$B$5)*(E56-Inputs!$B$5)+((Inputs!$C$71*SIN(($B56))-Inputs!$B$71*COS(($B56)))-Inputs!$B$6)*(F56-Inputs!$B$6))/G56)&gt;G56-Inputs!$B$40),999,(ABS((E56-Inputs!$B$5)*((Inputs!$C$71*SIN(($B56))-Inputs!$B$71*COS(($B56)))-Inputs!$B$6)-(F56-Inputs!$B$6)*((Inputs!$C$71*COS(($B56))+Inputs!$B$71*SIN(($B56)))-Inputs!$B$5))/G56)-IF(((((Inputs!$C$71*COS(($B56))+Inputs!$B$71*SIN(($B56)))-Inputs!$B$5)*(E56-Inputs!$B$5)+((Inputs!$C$71*SIN(($B56))-Inputs!$B$71*COS(($B56)))-Inputs!$B$6)*(F56-Inputs!$B$6))/G56)&lt;$B$16,$B$7/2,$B$8/2)-Inputs!$B$39),IF(OR(Inputs!$C$72=0,((((Inputs!$C$72*COS(($B56))+Inputs!$B$72*SIN(($B56)))-Inputs!$B$5)*(E56-Inputs!$B$5)+((Inputs!$C$72*SIN(($B56))-Inputs!$B$72*COS(($B56)))-Inputs!$B$6)*(F56-Inputs!$B$6))/G56)&lt;0,((((Inputs!$C$72*COS(($B56))+Inputs!$B$72*SIN(($B56)))-Inputs!$B$5)*(E56-Inputs!$B$5)+((Inputs!$C$72*SIN(($B56))-Inputs!$B$72*COS(($B56)))-Inputs!$B$6)*(F56-Inputs!$B$6))/G56)&gt;G56-Inputs!$B$40),999,(ABS((E56-Inputs!$B$5)*((Inputs!$C$72*SIN(($B56))-Inputs!$B$72*COS(($B56)))-Inputs!$B$6)-(F56-Inputs!$B$6)*((Inputs!$C$72*COS(($B56))+Inputs!$B$72*SIN(($B56)))-Inputs!$B$5))/G56)-IF(((((Inputs!$C$72*COS(($B56))+Inputs!$B$72*SIN(($B56)))-Inputs!$B$5)*(E56-Inputs!$B$5)+((Inputs!$C$72*SIN(($B56))-Inputs!$B$72*COS(($B56)))-Inputs!$B$6)*(F56-Inputs!$B$6))/G56)&lt;$B$16,$B$7/2,$B$8/2)-Inputs!$B$39))</f>
        <v>29.49506422</v>
      </c>
      <c r="J56" s="76">
        <f>IF(AND(G56&gt;=$B$14,G56&lt;=$B$15,H56&lt;=Inputs!$B$38,I56&gt;=0,$D56=1),1,0)</f>
        <v>1</v>
      </c>
      <c r="K56" s="29">
        <f>Inputs!$B$11*COS((-$B56))-Inputs!$B$7*SIN((-$B56))</f>
        <v>84.36227607</v>
      </c>
      <c r="L56" s="29">
        <f>Inputs!$B$11*SIN((-$B56))+Inputs!$B$7*COS((-$B56))</f>
        <v>-205.1126213</v>
      </c>
      <c r="M56" s="29">
        <f>SQRT((K56-Inputs!$B$5)^2+(L56-Inputs!$B$6)^2)</f>
        <v>347.1736845</v>
      </c>
      <c r="N56" s="29">
        <f>MAX(MAX(Inputs!$B$5,(Inputs!$B$5+(K56-Inputs!$B$5)*MIN(1,$B$16/M56)))+$B$7/2,MAX((Inputs!$B$5+(K56-Inputs!$B$5)*MIN(1,$B$16/M56)),K56)+Inputs!$B$41)</f>
        <v>291.8</v>
      </c>
      <c r="O56" s="29">
        <f>MIN(IF(OR(Inputs!$C$68=0,((((Inputs!$C$68*COS((-$B56))+Inputs!$B$68*SIN((-$B56)))-Inputs!$B$5)*(K56-Inputs!$B$5)+((Inputs!$C$68*SIN((-$B56))-Inputs!$B$68*COS((-$B56)))-Inputs!$B$6)*(L56-Inputs!$B$6))/M56)&lt;0,((((Inputs!$C$68*COS((-$B56))+Inputs!$B$68*SIN((-$B56)))-Inputs!$B$5)*(K56-Inputs!$B$5)+((Inputs!$C$68*SIN((-$B56))-Inputs!$B$68*COS((-$B56)))-Inputs!$B$6)*(L56-Inputs!$B$6))/M56)&gt;M56-Inputs!$B$40),999,(ABS((K56-Inputs!$B$5)*((Inputs!$C$68*SIN((-$B56))-Inputs!$B$68*COS((-$B56)))-Inputs!$B$6)-(L56-Inputs!$B$6)*((Inputs!$C$68*COS((-$B56))+Inputs!$B$68*SIN((-$B56)))-Inputs!$B$5))/M56)-IF(((((Inputs!$C$68*COS((-$B56))+Inputs!$B$68*SIN((-$B56)))-Inputs!$B$5)*(K56-Inputs!$B$5)+((Inputs!$C$68*SIN((-$B56))-Inputs!$B$68*COS((-$B56)))-Inputs!$B$6)*(L56-Inputs!$B$6))/M56)&lt;$B$16,$B$7/2,$B$8/2)-Inputs!$B$39),IF(OR(Inputs!$C$69=0,((((Inputs!$C$69*COS((-$B56))+Inputs!$B$69*SIN((-$B56)))-Inputs!$B$5)*(K56-Inputs!$B$5)+((Inputs!$C$69*SIN((-$B56))-Inputs!$B$69*COS((-$B56)))-Inputs!$B$6)*(L56-Inputs!$B$6))/M56)&lt;0,((((Inputs!$C$69*COS((-$B56))+Inputs!$B$69*SIN((-$B56)))-Inputs!$B$5)*(K56-Inputs!$B$5)+((Inputs!$C$69*SIN((-$B56))-Inputs!$B$69*COS((-$B56)))-Inputs!$B$6)*(L56-Inputs!$B$6))/M56)&gt;M56-Inputs!$B$40),999,(ABS((K56-Inputs!$B$5)*((Inputs!$C$69*SIN((-$B56))-Inputs!$B$69*COS((-$B56)))-Inputs!$B$6)-(L56-Inputs!$B$6)*((Inputs!$C$69*COS((-$B56))+Inputs!$B$69*SIN((-$B56)))-Inputs!$B$5))/M56)-IF(((((Inputs!$C$69*COS((-$B56))+Inputs!$B$69*SIN((-$B56)))-Inputs!$B$5)*(K56-Inputs!$B$5)+((Inputs!$C$69*SIN((-$B56))-Inputs!$B$69*COS((-$B56)))-Inputs!$B$6)*(L56-Inputs!$B$6))/M56)&lt;$B$16,$B$7/2,$B$8/2)-Inputs!$B$39),IF(OR(Inputs!$C$70=0,((((Inputs!$C$70*COS((-$B56))+Inputs!$B$70*SIN((-$B56)))-Inputs!$B$5)*(K56-Inputs!$B$5)+((Inputs!$C$70*SIN((-$B56))-Inputs!$B$70*COS((-$B56)))-Inputs!$B$6)*(L56-Inputs!$B$6))/M56)&lt;0,((((Inputs!$C$70*COS((-$B56))+Inputs!$B$70*SIN((-$B56)))-Inputs!$B$5)*(K56-Inputs!$B$5)+((Inputs!$C$70*SIN((-$B56))-Inputs!$B$70*COS((-$B56)))-Inputs!$B$6)*(L56-Inputs!$B$6))/M56)&gt;M56-Inputs!$B$40),999,(ABS((K56-Inputs!$B$5)*((Inputs!$C$70*SIN((-$B56))-Inputs!$B$70*COS((-$B56)))-Inputs!$B$6)-(L56-Inputs!$B$6)*((Inputs!$C$70*COS((-$B56))+Inputs!$B$70*SIN((-$B56)))-Inputs!$B$5))/M56)-IF(((((Inputs!$C$70*COS((-$B56))+Inputs!$B$70*SIN((-$B56)))-Inputs!$B$5)*(K56-Inputs!$B$5)+((Inputs!$C$70*SIN((-$B56))-Inputs!$B$70*COS((-$B56)))-Inputs!$B$6)*(L56-Inputs!$B$6))/M56)&lt;$B$16,$B$7/2,$B$8/2)-Inputs!$B$39),IF(OR(Inputs!$C$71=0,((((Inputs!$C$71*COS((-$B56))+Inputs!$B$71*SIN((-$B56)))-Inputs!$B$5)*(K56-Inputs!$B$5)+((Inputs!$C$71*SIN((-$B56))-Inputs!$B$71*COS((-$B56)))-Inputs!$B$6)*(L56-Inputs!$B$6))/M56)&lt;0,((((Inputs!$C$71*COS((-$B56))+Inputs!$B$71*SIN((-$B56)))-Inputs!$B$5)*(K56-Inputs!$B$5)+((Inputs!$C$71*SIN((-$B56))-Inputs!$B$71*COS((-$B56)))-Inputs!$B$6)*(L56-Inputs!$B$6))/M56)&gt;M56-Inputs!$B$40),999,(ABS((K56-Inputs!$B$5)*((Inputs!$C$71*SIN((-$B56))-Inputs!$B$71*COS((-$B56)))-Inputs!$B$6)-(L56-Inputs!$B$6)*((Inputs!$C$71*COS((-$B56))+Inputs!$B$71*SIN((-$B56)))-Inputs!$B$5))/M56)-IF(((((Inputs!$C$71*COS((-$B56))+Inputs!$B$71*SIN((-$B56)))-Inputs!$B$5)*(K56-Inputs!$B$5)+((Inputs!$C$71*SIN((-$B56))-Inputs!$B$71*COS((-$B56)))-Inputs!$B$6)*(L56-Inputs!$B$6))/M56)&lt;$B$16,$B$7/2,$B$8/2)-Inputs!$B$39),IF(OR(Inputs!$C$72=0,((((Inputs!$C$72*COS((-$B56))+Inputs!$B$72*SIN((-$B56)))-Inputs!$B$5)*(K56-Inputs!$B$5)+((Inputs!$C$72*SIN((-$B56))-Inputs!$B$72*COS((-$B56)))-Inputs!$B$6)*(L56-Inputs!$B$6))/M56)&lt;0,((((Inputs!$C$72*COS((-$B56))+Inputs!$B$72*SIN((-$B56)))-Inputs!$B$5)*(K56-Inputs!$B$5)+((Inputs!$C$72*SIN((-$B56))-Inputs!$B$72*COS((-$B56)))-Inputs!$B$6)*(L56-Inputs!$B$6))/M56)&gt;M56-Inputs!$B$40),999,(ABS((K56-Inputs!$B$5)*((Inputs!$C$72*SIN((-$B56))-Inputs!$B$72*COS((-$B56)))-Inputs!$B$6)-(L56-Inputs!$B$6)*((Inputs!$C$72*COS((-$B56))+Inputs!$B$72*SIN((-$B56)))-Inputs!$B$5))/M56)-IF(((((Inputs!$C$72*COS((-$B56))+Inputs!$B$72*SIN((-$B56)))-Inputs!$B$5)*(K56-Inputs!$B$5)+((Inputs!$C$72*SIN((-$B56))-Inputs!$B$72*COS((-$B56)))-Inputs!$B$6)*(L56-Inputs!$B$6))/M56)&lt;$B$16,$B$7/2,$B$8/2)-Inputs!$B$39))</f>
        <v>21.20231082</v>
      </c>
      <c r="P56" s="76">
        <f>IF(AND(M56&gt;=$B$14,M56&lt;=$B$15,N56&lt;=Inputs!$B$38,O56&gt;=0,$D56=1),1,0)</f>
        <v>1</v>
      </c>
      <c r="X56" s="15">
        <v>10.5</v>
      </c>
      <c r="Y56" s="22">
        <f t="shared" si="1"/>
        <v>291.8</v>
      </c>
      <c r="Z56" s="22">
        <f>Inputs!$B$38</f>
        <v>350</v>
      </c>
      <c r="AA56" s="22">
        <f t="shared" si="2"/>
        <v>38.54341558</v>
      </c>
      <c r="AB56" s="15">
        <v>0.0</v>
      </c>
    </row>
    <row r="57" ht="15.75" customHeight="1">
      <c r="A57" s="23">
        <v>3.5</v>
      </c>
      <c r="B57" s="40">
        <f t="shared" si="4"/>
        <v>0.06108652382</v>
      </c>
      <c r="C57" s="29">
        <f>MAX(Inputs!$C$68*COS($B57)+Inputs!$B$68*ABS(SIN($B57)),Inputs!$C$69*COS($B57)+Inputs!$B$69*ABS(SIN($B57)),Inputs!$C$70*COS($B57)+Inputs!$B$70*ABS(SIN($B57)),Inputs!$C$71*COS($B57)+Inputs!$B$71*ABS(SIN($B57)),Inputs!$C$72*COS($B57)+Inputs!$B$72*ABS(SIN($B57)))</f>
        <v>103.1913587</v>
      </c>
      <c r="D57" s="71">
        <f>IF(C57&lt;=Inputs!$B$38,1,0)</f>
        <v>1</v>
      </c>
      <c r="E57" s="29">
        <f>Inputs!$B$11*COS(($B57))-Inputs!$B$7*SIN(($B57))</f>
        <v>107.885919</v>
      </c>
      <c r="F57" s="29">
        <f>Inputs!$B$11*SIN(($B57))+Inputs!$B$7*COS(($B57))</f>
        <v>-193.7751519</v>
      </c>
      <c r="G57" s="29">
        <f>SQRT((E57-Inputs!$B$5)^2+(F57-Inputs!$B$6)^2)</f>
        <v>326.3437634</v>
      </c>
      <c r="H57" s="29">
        <f>MAX(MAX(Inputs!$B$5,(Inputs!$B$5+(E57-Inputs!$B$5)*MIN(1,$B$16/G57)))+$B$7/2,MAX((Inputs!$B$5+(E57-Inputs!$B$5)*MIN(1,$B$16/G57)),E57)+Inputs!$B$41)</f>
        <v>291.8</v>
      </c>
      <c r="I57" s="29">
        <f>MIN(IF(OR(Inputs!$C$68=0,((((Inputs!$C$68*COS(($B57))+Inputs!$B$68*SIN(($B57)))-Inputs!$B$5)*(E57-Inputs!$B$5)+((Inputs!$C$68*SIN(($B57))-Inputs!$B$68*COS(($B57)))-Inputs!$B$6)*(F57-Inputs!$B$6))/G57)&lt;0,((((Inputs!$C$68*COS(($B57))+Inputs!$B$68*SIN(($B57)))-Inputs!$B$5)*(E57-Inputs!$B$5)+((Inputs!$C$68*SIN(($B57))-Inputs!$B$68*COS(($B57)))-Inputs!$B$6)*(F57-Inputs!$B$6))/G57)&gt;G57-Inputs!$B$40),999,(ABS((E57-Inputs!$B$5)*((Inputs!$C$68*SIN(($B57))-Inputs!$B$68*COS(($B57)))-Inputs!$B$6)-(F57-Inputs!$B$6)*((Inputs!$C$68*COS(($B57))+Inputs!$B$68*SIN(($B57)))-Inputs!$B$5))/G57)-IF(((((Inputs!$C$68*COS(($B57))+Inputs!$B$68*SIN(($B57)))-Inputs!$B$5)*(E57-Inputs!$B$5)+((Inputs!$C$68*SIN(($B57))-Inputs!$B$68*COS(($B57)))-Inputs!$B$6)*(F57-Inputs!$B$6))/G57)&lt;$B$16,$B$7/2,$B$8/2)-Inputs!$B$39),IF(OR(Inputs!$C$69=0,((((Inputs!$C$69*COS(($B57))+Inputs!$B$69*SIN(($B57)))-Inputs!$B$5)*(E57-Inputs!$B$5)+((Inputs!$C$69*SIN(($B57))-Inputs!$B$69*COS(($B57)))-Inputs!$B$6)*(F57-Inputs!$B$6))/G57)&lt;0,((((Inputs!$C$69*COS(($B57))+Inputs!$B$69*SIN(($B57)))-Inputs!$B$5)*(E57-Inputs!$B$5)+((Inputs!$C$69*SIN(($B57))-Inputs!$B$69*COS(($B57)))-Inputs!$B$6)*(F57-Inputs!$B$6))/G57)&gt;G57-Inputs!$B$40),999,(ABS((E57-Inputs!$B$5)*((Inputs!$C$69*SIN(($B57))-Inputs!$B$69*COS(($B57)))-Inputs!$B$6)-(F57-Inputs!$B$6)*((Inputs!$C$69*COS(($B57))+Inputs!$B$69*SIN(($B57)))-Inputs!$B$5))/G57)-IF(((((Inputs!$C$69*COS(($B57))+Inputs!$B$69*SIN(($B57)))-Inputs!$B$5)*(E57-Inputs!$B$5)+((Inputs!$C$69*SIN(($B57))-Inputs!$B$69*COS(($B57)))-Inputs!$B$6)*(F57-Inputs!$B$6))/G57)&lt;$B$16,$B$7/2,$B$8/2)-Inputs!$B$39),IF(OR(Inputs!$C$70=0,((((Inputs!$C$70*COS(($B57))+Inputs!$B$70*SIN(($B57)))-Inputs!$B$5)*(E57-Inputs!$B$5)+((Inputs!$C$70*SIN(($B57))-Inputs!$B$70*COS(($B57)))-Inputs!$B$6)*(F57-Inputs!$B$6))/G57)&lt;0,((((Inputs!$C$70*COS(($B57))+Inputs!$B$70*SIN(($B57)))-Inputs!$B$5)*(E57-Inputs!$B$5)+((Inputs!$C$70*SIN(($B57))-Inputs!$B$70*COS(($B57)))-Inputs!$B$6)*(F57-Inputs!$B$6))/G57)&gt;G57-Inputs!$B$40),999,(ABS((E57-Inputs!$B$5)*((Inputs!$C$70*SIN(($B57))-Inputs!$B$70*COS(($B57)))-Inputs!$B$6)-(F57-Inputs!$B$6)*((Inputs!$C$70*COS(($B57))+Inputs!$B$70*SIN(($B57)))-Inputs!$B$5))/G57)-IF(((((Inputs!$C$70*COS(($B57))+Inputs!$B$70*SIN(($B57)))-Inputs!$B$5)*(E57-Inputs!$B$5)+((Inputs!$C$70*SIN(($B57))-Inputs!$B$70*COS(($B57)))-Inputs!$B$6)*(F57-Inputs!$B$6))/G57)&lt;$B$16,$B$7/2,$B$8/2)-Inputs!$B$39),IF(OR(Inputs!$C$71=0,((((Inputs!$C$71*COS(($B57))+Inputs!$B$71*SIN(($B57)))-Inputs!$B$5)*(E57-Inputs!$B$5)+((Inputs!$C$71*SIN(($B57))-Inputs!$B$71*COS(($B57)))-Inputs!$B$6)*(F57-Inputs!$B$6))/G57)&lt;0,((((Inputs!$C$71*COS(($B57))+Inputs!$B$71*SIN(($B57)))-Inputs!$B$5)*(E57-Inputs!$B$5)+((Inputs!$C$71*SIN(($B57))-Inputs!$B$71*COS(($B57)))-Inputs!$B$6)*(F57-Inputs!$B$6))/G57)&gt;G57-Inputs!$B$40),999,(ABS((E57-Inputs!$B$5)*((Inputs!$C$71*SIN(($B57))-Inputs!$B$71*COS(($B57)))-Inputs!$B$6)-(F57-Inputs!$B$6)*((Inputs!$C$71*COS(($B57))+Inputs!$B$71*SIN(($B57)))-Inputs!$B$5))/G57)-IF(((((Inputs!$C$71*COS(($B57))+Inputs!$B$71*SIN(($B57)))-Inputs!$B$5)*(E57-Inputs!$B$5)+((Inputs!$C$71*SIN(($B57))-Inputs!$B$71*COS(($B57)))-Inputs!$B$6)*(F57-Inputs!$B$6))/G57)&lt;$B$16,$B$7/2,$B$8/2)-Inputs!$B$39),IF(OR(Inputs!$C$72=0,((((Inputs!$C$72*COS(($B57))+Inputs!$B$72*SIN(($B57)))-Inputs!$B$5)*(E57-Inputs!$B$5)+((Inputs!$C$72*SIN(($B57))-Inputs!$B$72*COS(($B57)))-Inputs!$B$6)*(F57-Inputs!$B$6))/G57)&lt;0,((((Inputs!$C$72*COS(($B57))+Inputs!$B$72*SIN(($B57)))-Inputs!$B$5)*(E57-Inputs!$B$5)+((Inputs!$C$72*SIN(($B57))-Inputs!$B$72*COS(($B57)))-Inputs!$B$6)*(F57-Inputs!$B$6))/G57)&gt;G57-Inputs!$B$40),999,(ABS((E57-Inputs!$B$5)*((Inputs!$C$72*SIN(($B57))-Inputs!$B$72*COS(($B57)))-Inputs!$B$6)-(F57-Inputs!$B$6)*((Inputs!$C$72*COS(($B57))+Inputs!$B$72*SIN(($B57)))-Inputs!$B$5))/G57)-IF(((((Inputs!$C$72*COS(($B57))+Inputs!$B$72*SIN(($B57)))-Inputs!$B$5)*(E57-Inputs!$B$5)+((Inputs!$C$72*SIN(($B57))-Inputs!$B$72*COS(($B57)))-Inputs!$B$6)*(F57-Inputs!$B$6))/G57)&lt;$B$16,$B$7/2,$B$8/2)-Inputs!$B$39))</f>
        <v>29.81074742</v>
      </c>
      <c r="J57" s="76">
        <f>IF(AND(G57&gt;=$B$14,G57&lt;=$B$15,H57&lt;=Inputs!$B$38,I57&gt;=0,$D57=1),1,0)</f>
        <v>1</v>
      </c>
      <c r="K57" s="29">
        <f>Inputs!$B$11*COS((-$B57))-Inputs!$B$7*SIN((-$B57))</f>
        <v>83.4665032</v>
      </c>
      <c r="L57" s="29">
        <f>Inputs!$B$11*SIN((-$B57))+Inputs!$B$7*COS((-$B57))</f>
        <v>-205.4787674</v>
      </c>
      <c r="M57" s="29">
        <f>SQRT((K57-Inputs!$B$5)^2+(L57-Inputs!$B$6)^2)</f>
        <v>347.9233866</v>
      </c>
      <c r="N57" s="29">
        <f>MAX(MAX(Inputs!$B$5,(Inputs!$B$5+(K57-Inputs!$B$5)*MIN(1,$B$16/M57)))+$B$7/2,MAX((Inputs!$B$5+(K57-Inputs!$B$5)*MIN(1,$B$16/M57)),K57)+Inputs!$B$41)</f>
        <v>291.8</v>
      </c>
      <c r="O57" s="29">
        <f>MIN(IF(OR(Inputs!$C$68=0,((((Inputs!$C$68*COS((-$B57))+Inputs!$B$68*SIN((-$B57)))-Inputs!$B$5)*(K57-Inputs!$B$5)+((Inputs!$C$68*SIN((-$B57))-Inputs!$B$68*COS((-$B57)))-Inputs!$B$6)*(L57-Inputs!$B$6))/M57)&lt;0,((((Inputs!$C$68*COS((-$B57))+Inputs!$B$68*SIN((-$B57)))-Inputs!$B$5)*(K57-Inputs!$B$5)+((Inputs!$C$68*SIN((-$B57))-Inputs!$B$68*COS((-$B57)))-Inputs!$B$6)*(L57-Inputs!$B$6))/M57)&gt;M57-Inputs!$B$40),999,(ABS((K57-Inputs!$B$5)*((Inputs!$C$68*SIN((-$B57))-Inputs!$B$68*COS((-$B57)))-Inputs!$B$6)-(L57-Inputs!$B$6)*((Inputs!$C$68*COS((-$B57))+Inputs!$B$68*SIN((-$B57)))-Inputs!$B$5))/M57)-IF(((((Inputs!$C$68*COS((-$B57))+Inputs!$B$68*SIN((-$B57)))-Inputs!$B$5)*(K57-Inputs!$B$5)+((Inputs!$C$68*SIN((-$B57))-Inputs!$B$68*COS((-$B57)))-Inputs!$B$6)*(L57-Inputs!$B$6))/M57)&lt;$B$16,$B$7/2,$B$8/2)-Inputs!$B$39),IF(OR(Inputs!$C$69=0,((((Inputs!$C$69*COS((-$B57))+Inputs!$B$69*SIN((-$B57)))-Inputs!$B$5)*(K57-Inputs!$B$5)+((Inputs!$C$69*SIN((-$B57))-Inputs!$B$69*COS((-$B57)))-Inputs!$B$6)*(L57-Inputs!$B$6))/M57)&lt;0,((((Inputs!$C$69*COS((-$B57))+Inputs!$B$69*SIN((-$B57)))-Inputs!$B$5)*(K57-Inputs!$B$5)+((Inputs!$C$69*SIN((-$B57))-Inputs!$B$69*COS((-$B57)))-Inputs!$B$6)*(L57-Inputs!$B$6))/M57)&gt;M57-Inputs!$B$40),999,(ABS((K57-Inputs!$B$5)*((Inputs!$C$69*SIN((-$B57))-Inputs!$B$69*COS((-$B57)))-Inputs!$B$6)-(L57-Inputs!$B$6)*((Inputs!$C$69*COS((-$B57))+Inputs!$B$69*SIN((-$B57)))-Inputs!$B$5))/M57)-IF(((((Inputs!$C$69*COS((-$B57))+Inputs!$B$69*SIN((-$B57)))-Inputs!$B$5)*(K57-Inputs!$B$5)+((Inputs!$C$69*SIN((-$B57))-Inputs!$B$69*COS((-$B57)))-Inputs!$B$6)*(L57-Inputs!$B$6))/M57)&lt;$B$16,$B$7/2,$B$8/2)-Inputs!$B$39),IF(OR(Inputs!$C$70=0,((((Inputs!$C$70*COS((-$B57))+Inputs!$B$70*SIN((-$B57)))-Inputs!$B$5)*(K57-Inputs!$B$5)+((Inputs!$C$70*SIN((-$B57))-Inputs!$B$70*COS((-$B57)))-Inputs!$B$6)*(L57-Inputs!$B$6))/M57)&lt;0,((((Inputs!$C$70*COS((-$B57))+Inputs!$B$70*SIN((-$B57)))-Inputs!$B$5)*(K57-Inputs!$B$5)+((Inputs!$C$70*SIN((-$B57))-Inputs!$B$70*COS((-$B57)))-Inputs!$B$6)*(L57-Inputs!$B$6))/M57)&gt;M57-Inputs!$B$40),999,(ABS((K57-Inputs!$B$5)*((Inputs!$C$70*SIN((-$B57))-Inputs!$B$70*COS((-$B57)))-Inputs!$B$6)-(L57-Inputs!$B$6)*((Inputs!$C$70*COS((-$B57))+Inputs!$B$70*SIN((-$B57)))-Inputs!$B$5))/M57)-IF(((((Inputs!$C$70*COS((-$B57))+Inputs!$B$70*SIN((-$B57)))-Inputs!$B$5)*(K57-Inputs!$B$5)+((Inputs!$C$70*SIN((-$B57))-Inputs!$B$70*COS((-$B57)))-Inputs!$B$6)*(L57-Inputs!$B$6))/M57)&lt;$B$16,$B$7/2,$B$8/2)-Inputs!$B$39),IF(OR(Inputs!$C$71=0,((((Inputs!$C$71*COS((-$B57))+Inputs!$B$71*SIN((-$B57)))-Inputs!$B$5)*(K57-Inputs!$B$5)+((Inputs!$C$71*SIN((-$B57))-Inputs!$B$71*COS((-$B57)))-Inputs!$B$6)*(L57-Inputs!$B$6))/M57)&lt;0,((((Inputs!$C$71*COS((-$B57))+Inputs!$B$71*SIN((-$B57)))-Inputs!$B$5)*(K57-Inputs!$B$5)+((Inputs!$C$71*SIN((-$B57))-Inputs!$B$71*COS((-$B57)))-Inputs!$B$6)*(L57-Inputs!$B$6))/M57)&gt;M57-Inputs!$B$40),999,(ABS((K57-Inputs!$B$5)*((Inputs!$C$71*SIN((-$B57))-Inputs!$B$71*COS((-$B57)))-Inputs!$B$6)-(L57-Inputs!$B$6)*((Inputs!$C$71*COS((-$B57))+Inputs!$B$71*SIN((-$B57)))-Inputs!$B$5))/M57)-IF(((((Inputs!$C$71*COS((-$B57))+Inputs!$B$71*SIN((-$B57)))-Inputs!$B$5)*(K57-Inputs!$B$5)+((Inputs!$C$71*SIN((-$B57))-Inputs!$B$71*COS((-$B57)))-Inputs!$B$6)*(L57-Inputs!$B$6))/M57)&lt;$B$16,$B$7/2,$B$8/2)-Inputs!$B$39),IF(OR(Inputs!$C$72=0,((((Inputs!$C$72*COS((-$B57))+Inputs!$B$72*SIN((-$B57)))-Inputs!$B$5)*(K57-Inputs!$B$5)+((Inputs!$C$72*SIN((-$B57))-Inputs!$B$72*COS((-$B57)))-Inputs!$B$6)*(L57-Inputs!$B$6))/M57)&lt;0,((((Inputs!$C$72*COS((-$B57))+Inputs!$B$72*SIN((-$B57)))-Inputs!$B$5)*(K57-Inputs!$B$5)+((Inputs!$C$72*SIN((-$B57))-Inputs!$B$72*COS((-$B57)))-Inputs!$B$6)*(L57-Inputs!$B$6))/M57)&gt;M57-Inputs!$B$40),999,(ABS((K57-Inputs!$B$5)*((Inputs!$C$72*SIN((-$B57))-Inputs!$B$72*COS((-$B57)))-Inputs!$B$6)-(L57-Inputs!$B$6)*((Inputs!$C$72*COS((-$B57))+Inputs!$B$72*SIN((-$B57)))-Inputs!$B$5))/M57)-IF(((((Inputs!$C$72*COS((-$B57))+Inputs!$B$72*SIN((-$B57)))-Inputs!$B$5)*(K57-Inputs!$B$5)+((Inputs!$C$72*SIN((-$B57))-Inputs!$B$72*COS((-$B57)))-Inputs!$B$6)*(L57-Inputs!$B$6))/M57)&lt;$B$16,$B$7/2,$B$8/2)-Inputs!$B$39))</f>
        <v>20.88023356</v>
      </c>
      <c r="P57" s="76">
        <f>IF(AND(M57&gt;=$B$14,M57&lt;=$B$15,N57&lt;=Inputs!$B$38,O57&gt;=0,$D57=1),1,0)</f>
        <v>1</v>
      </c>
      <c r="X57" s="15">
        <v>11.0</v>
      </c>
      <c r="Y57" s="22">
        <f t="shared" si="1"/>
        <v>291.8</v>
      </c>
      <c r="Z57" s="22">
        <f>Inputs!$B$38</f>
        <v>350</v>
      </c>
      <c r="AA57" s="22">
        <f t="shared" si="2"/>
        <v>39.15898497</v>
      </c>
      <c r="AB57" s="15">
        <v>0.0</v>
      </c>
    </row>
    <row r="58" ht="15.75" customHeight="1">
      <c r="A58" s="23">
        <v>3.75</v>
      </c>
      <c r="B58" s="40">
        <f t="shared" si="4"/>
        <v>0.06544984695</v>
      </c>
      <c r="C58" s="29">
        <f>MAX(Inputs!$C$68*COS($B58)+Inputs!$B$68*ABS(SIN($B58)),Inputs!$C$69*COS($B58)+Inputs!$B$69*ABS(SIN($B58)),Inputs!$C$70*COS($B58)+Inputs!$B$70*ABS(SIN($B58)),Inputs!$C$71*COS($B58)+Inputs!$B$71*ABS(SIN($B58)),Inputs!$C$72*COS($B58)+Inputs!$B$72*ABS(SIN($B58)))</f>
        <v>104.9056437</v>
      </c>
      <c r="D58" s="71">
        <f>IF(C58&lt;=Inputs!$B$38,1,0)</f>
        <v>1</v>
      </c>
      <c r="E58" s="29">
        <f>Inputs!$B$11*COS(($B58))-Inputs!$B$7*SIN(($B58))</f>
        <v>108.7303929</v>
      </c>
      <c r="F58" s="29">
        <f>Inputs!$B$11*SIN(($B58))+Inputs!$B$7*COS(($B58))</f>
        <v>-193.3025677</v>
      </c>
      <c r="G58" s="29">
        <f>SQRT((E58-Inputs!$B$5)^2+(F58-Inputs!$B$6)^2)</f>
        <v>325.5510683</v>
      </c>
      <c r="H58" s="29">
        <f>MAX(MAX(Inputs!$B$5,(Inputs!$B$5+(E58-Inputs!$B$5)*MIN(1,$B$16/G58)))+$B$7/2,MAX((Inputs!$B$5+(E58-Inputs!$B$5)*MIN(1,$B$16/G58)),E58)+Inputs!$B$41)</f>
        <v>291.8</v>
      </c>
      <c r="I58" s="29">
        <f>MIN(IF(OR(Inputs!$C$68=0,((((Inputs!$C$68*COS(($B58))+Inputs!$B$68*SIN(($B58)))-Inputs!$B$5)*(E58-Inputs!$B$5)+((Inputs!$C$68*SIN(($B58))-Inputs!$B$68*COS(($B58)))-Inputs!$B$6)*(F58-Inputs!$B$6))/G58)&lt;0,((((Inputs!$C$68*COS(($B58))+Inputs!$B$68*SIN(($B58)))-Inputs!$B$5)*(E58-Inputs!$B$5)+((Inputs!$C$68*SIN(($B58))-Inputs!$B$68*COS(($B58)))-Inputs!$B$6)*(F58-Inputs!$B$6))/G58)&gt;G58-Inputs!$B$40),999,(ABS((E58-Inputs!$B$5)*((Inputs!$C$68*SIN(($B58))-Inputs!$B$68*COS(($B58)))-Inputs!$B$6)-(F58-Inputs!$B$6)*((Inputs!$C$68*COS(($B58))+Inputs!$B$68*SIN(($B58)))-Inputs!$B$5))/G58)-IF(((((Inputs!$C$68*COS(($B58))+Inputs!$B$68*SIN(($B58)))-Inputs!$B$5)*(E58-Inputs!$B$5)+((Inputs!$C$68*SIN(($B58))-Inputs!$B$68*COS(($B58)))-Inputs!$B$6)*(F58-Inputs!$B$6))/G58)&lt;$B$16,$B$7/2,$B$8/2)-Inputs!$B$39),IF(OR(Inputs!$C$69=0,((((Inputs!$C$69*COS(($B58))+Inputs!$B$69*SIN(($B58)))-Inputs!$B$5)*(E58-Inputs!$B$5)+((Inputs!$C$69*SIN(($B58))-Inputs!$B$69*COS(($B58)))-Inputs!$B$6)*(F58-Inputs!$B$6))/G58)&lt;0,((((Inputs!$C$69*COS(($B58))+Inputs!$B$69*SIN(($B58)))-Inputs!$B$5)*(E58-Inputs!$B$5)+((Inputs!$C$69*SIN(($B58))-Inputs!$B$69*COS(($B58)))-Inputs!$B$6)*(F58-Inputs!$B$6))/G58)&gt;G58-Inputs!$B$40),999,(ABS((E58-Inputs!$B$5)*((Inputs!$C$69*SIN(($B58))-Inputs!$B$69*COS(($B58)))-Inputs!$B$6)-(F58-Inputs!$B$6)*((Inputs!$C$69*COS(($B58))+Inputs!$B$69*SIN(($B58)))-Inputs!$B$5))/G58)-IF(((((Inputs!$C$69*COS(($B58))+Inputs!$B$69*SIN(($B58)))-Inputs!$B$5)*(E58-Inputs!$B$5)+((Inputs!$C$69*SIN(($B58))-Inputs!$B$69*COS(($B58)))-Inputs!$B$6)*(F58-Inputs!$B$6))/G58)&lt;$B$16,$B$7/2,$B$8/2)-Inputs!$B$39),IF(OR(Inputs!$C$70=0,((((Inputs!$C$70*COS(($B58))+Inputs!$B$70*SIN(($B58)))-Inputs!$B$5)*(E58-Inputs!$B$5)+((Inputs!$C$70*SIN(($B58))-Inputs!$B$70*COS(($B58)))-Inputs!$B$6)*(F58-Inputs!$B$6))/G58)&lt;0,((((Inputs!$C$70*COS(($B58))+Inputs!$B$70*SIN(($B58)))-Inputs!$B$5)*(E58-Inputs!$B$5)+((Inputs!$C$70*SIN(($B58))-Inputs!$B$70*COS(($B58)))-Inputs!$B$6)*(F58-Inputs!$B$6))/G58)&gt;G58-Inputs!$B$40),999,(ABS((E58-Inputs!$B$5)*((Inputs!$C$70*SIN(($B58))-Inputs!$B$70*COS(($B58)))-Inputs!$B$6)-(F58-Inputs!$B$6)*((Inputs!$C$70*COS(($B58))+Inputs!$B$70*SIN(($B58)))-Inputs!$B$5))/G58)-IF(((((Inputs!$C$70*COS(($B58))+Inputs!$B$70*SIN(($B58)))-Inputs!$B$5)*(E58-Inputs!$B$5)+((Inputs!$C$70*SIN(($B58))-Inputs!$B$70*COS(($B58)))-Inputs!$B$6)*(F58-Inputs!$B$6))/G58)&lt;$B$16,$B$7/2,$B$8/2)-Inputs!$B$39),IF(OR(Inputs!$C$71=0,((((Inputs!$C$71*COS(($B58))+Inputs!$B$71*SIN(($B58)))-Inputs!$B$5)*(E58-Inputs!$B$5)+((Inputs!$C$71*SIN(($B58))-Inputs!$B$71*COS(($B58)))-Inputs!$B$6)*(F58-Inputs!$B$6))/G58)&lt;0,((((Inputs!$C$71*COS(($B58))+Inputs!$B$71*SIN(($B58)))-Inputs!$B$5)*(E58-Inputs!$B$5)+((Inputs!$C$71*SIN(($B58))-Inputs!$B$71*COS(($B58)))-Inputs!$B$6)*(F58-Inputs!$B$6))/G58)&gt;G58-Inputs!$B$40),999,(ABS((E58-Inputs!$B$5)*((Inputs!$C$71*SIN(($B58))-Inputs!$B$71*COS(($B58)))-Inputs!$B$6)-(F58-Inputs!$B$6)*((Inputs!$C$71*COS(($B58))+Inputs!$B$71*SIN(($B58)))-Inputs!$B$5))/G58)-IF(((((Inputs!$C$71*COS(($B58))+Inputs!$B$71*SIN(($B58)))-Inputs!$B$5)*(E58-Inputs!$B$5)+((Inputs!$C$71*SIN(($B58))-Inputs!$B$71*COS(($B58)))-Inputs!$B$6)*(F58-Inputs!$B$6))/G58)&lt;$B$16,$B$7/2,$B$8/2)-Inputs!$B$39),IF(OR(Inputs!$C$72=0,((((Inputs!$C$72*COS(($B58))+Inputs!$B$72*SIN(($B58)))-Inputs!$B$5)*(E58-Inputs!$B$5)+((Inputs!$C$72*SIN(($B58))-Inputs!$B$72*COS(($B58)))-Inputs!$B$6)*(F58-Inputs!$B$6))/G58)&lt;0,((((Inputs!$C$72*COS(($B58))+Inputs!$B$72*SIN(($B58)))-Inputs!$B$5)*(E58-Inputs!$B$5)+((Inputs!$C$72*SIN(($B58))-Inputs!$B$72*COS(($B58)))-Inputs!$B$6)*(F58-Inputs!$B$6))/G58)&gt;G58-Inputs!$B$40),999,(ABS((E58-Inputs!$B$5)*((Inputs!$C$72*SIN(($B58))-Inputs!$B$72*COS(($B58)))-Inputs!$B$6)-(F58-Inputs!$B$6)*((Inputs!$C$72*COS(($B58))+Inputs!$B$72*SIN(($B58)))-Inputs!$B$5))/G58)-IF(((((Inputs!$C$72*COS(($B58))+Inputs!$B$72*SIN(($B58)))-Inputs!$B$5)*(E58-Inputs!$B$5)+((Inputs!$C$72*SIN(($B58))-Inputs!$B$72*COS(($B58)))-Inputs!$B$6)*(F58-Inputs!$B$6))/G58)&lt;$B$16,$B$7/2,$B$8/2)-Inputs!$B$39))</f>
        <v>30.12617806</v>
      </c>
      <c r="J58" s="76">
        <f>IF(AND(G58&gt;=$B$14,G58&lt;=$B$15,H58&lt;=Inputs!$B$38,I58&gt;=0,$D58=1),1,0)</f>
        <v>1</v>
      </c>
      <c r="K58" s="29">
        <f>Inputs!$B$11*COS((-$B58))-Inputs!$B$7*SIN((-$B58))</f>
        <v>82.56914124</v>
      </c>
      <c r="L58" s="29">
        <f>Inputs!$B$11*SIN((-$B58))+Inputs!$B$7*COS((-$B58))</f>
        <v>-205.8410016</v>
      </c>
      <c r="M58" s="29">
        <f>SQRT((K58-Inputs!$B$5)^2+(L58-Inputs!$B$6)^2)</f>
        <v>348.671494</v>
      </c>
      <c r="N58" s="29">
        <f>MAX(MAX(Inputs!$B$5,(Inputs!$B$5+(K58-Inputs!$B$5)*MIN(1,$B$16/M58)))+$B$7/2,MAX((Inputs!$B$5+(K58-Inputs!$B$5)*MIN(1,$B$16/M58)),K58)+Inputs!$B$41)</f>
        <v>291.8</v>
      </c>
      <c r="O58" s="29">
        <f>MIN(IF(OR(Inputs!$C$68=0,((((Inputs!$C$68*COS((-$B58))+Inputs!$B$68*SIN((-$B58)))-Inputs!$B$5)*(K58-Inputs!$B$5)+((Inputs!$C$68*SIN((-$B58))-Inputs!$B$68*COS((-$B58)))-Inputs!$B$6)*(L58-Inputs!$B$6))/M58)&lt;0,((((Inputs!$C$68*COS((-$B58))+Inputs!$B$68*SIN((-$B58)))-Inputs!$B$5)*(K58-Inputs!$B$5)+((Inputs!$C$68*SIN((-$B58))-Inputs!$B$68*COS((-$B58)))-Inputs!$B$6)*(L58-Inputs!$B$6))/M58)&gt;M58-Inputs!$B$40),999,(ABS((K58-Inputs!$B$5)*((Inputs!$C$68*SIN((-$B58))-Inputs!$B$68*COS((-$B58)))-Inputs!$B$6)-(L58-Inputs!$B$6)*((Inputs!$C$68*COS((-$B58))+Inputs!$B$68*SIN((-$B58)))-Inputs!$B$5))/M58)-IF(((((Inputs!$C$68*COS((-$B58))+Inputs!$B$68*SIN((-$B58)))-Inputs!$B$5)*(K58-Inputs!$B$5)+((Inputs!$C$68*SIN((-$B58))-Inputs!$B$68*COS((-$B58)))-Inputs!$B$6)*(L58-Inputs!$B$6))/M58)&lt;$B$16,$B$7/2,$B$8/2)-Inputs!$B$39),IF(OR(Inputs!$C$69=0,((((Inputs!$C$69*COS((-$B58))+Inputs!$B$69*SIN((-$B58)))-Inputs!$B$5)*(K58-Inputs!$B$5)+((Inputs!$C$69*SIN((-$B58))-Inputs!$B$69*COS((-$B58)))-Inputs!$B$6)*(L58-Inputs!$B$6))/M58)&lt;0,((((Inputs!$C$69*COS((-$B58))+Inputs!$B$69*SIN((-$B58)))-Inputs!$B$5)*(K58-Inputs!$B$5)+((Inputs!$C$69*SIN((-$B58))-Inputs!$B$69*COS((-$B58)))-Inputs!$B$6)*(L58-Inputs!$B$6))/M58)&gt;M58-Inputs!$B$40),999,(ABS((K58-Inputs!$B$5)*((Inputs!$C$69*SIN((-$B58))-Inputs!$B$69*COS((-$B58)))-Inputs!$B$6)-(L58-Inputs!$B$6)*((Inputs!$C$69*COS((-$B58))+Inputs!$B$69*SIN((-$B58)))-Inputs!$B$5))/M58)-IF(((((Inputs!$C$69*COS((-$B58))+Inputs!$B$69*SIN((-$B58)))-Inputs!$B$5)*(K58-Inputs!$B$5)+((Inputs!$C$69*SIN((-$B58))-Inputs!$B$69*COS((-$B58)))-Inputs!$B$6)*(L58-Inputs!$B$6))/M58)&lt;$B$16,$B$7/2,$B$8/2)-Inputs!$B$39),IF(OR(Inputs!$C$70=0,((((Inputs!$C$70*COS((-$B58))+Inputs!$B$70*SIN((-$B58)))-Inputs!$B$5)*(K58-Inputs!$B$5)+((Inputs!$C$70*SIN((-$B58))-Inputs!$B$70*COS((-$B58)))-Inputs!$B$6)*(L58-Inputs!$B$6))/M58)&lt;0,((((Inputs!$C$70*COS((-$B58))+Inputs!$B$70*SIN((-$B58)))-Inputs!$B$5)*(K58-Inputs!$B$5)+((Inputs!$C$70*SIN((-$B58))-Inputs!$B$70*COS((-$B58)))-Inputs!$B$6)*(L58-Inputs!$B$6))/M58)&gt;M58-Inputs!$B$40),999,(ABS((K58-Inputs!$B$5)*((Inputs!$C$70*SIN((-$B58))-Inputs!$B$70*COS((-$B58)))-Inputs!$B$6)-(L58-Inputs!$B$6)*((Inputs!$C$70*COS((-$B58))+Inputs!$B$70*SIN((-$B58)))-Inputs!$B$5))/M58)-IF(((((Inputs!$C$70*COS((-$B58))+Inputs!$B$70*SIN((-$B58)))-Inputs!$B$5)*(K58-Inputs!$B$5)+((Inputs!$C$70*SIN((-$B58))-Inputs!$B$70*COS((-$B58)))-Inputs!$B$6)*(L58-Inputs!$B$6))/M58)&lt;$B$16,$B$7/2,$B$8/2)-Inputs!$B$39),IF(OR(Inputs!$C$71=0,((((Inputs!$C$71*COS((-$B58))+Inputs!$B$71*SIN((-$B58)))-Inputs!$B$5)*(K58-Inputs!$B$5)+((Inputs!$C$71*SIN((-$B58))-Inputs!$B$71*COS((-$B58)))-Inputs!$B$6)*(L58-Inputs!$B$6))/M58)&lt;0,((((Inputs!$C$71*COS((-$B58))+Inputs!$B$71*SIN((-$B58)))-Inputs!$B$5)*(K58-Inputs!$B$5)+((Inputs!$C$71*SIN((-$B58))-Inputs!$B$71*COS((-$B58)))-Inputs!$B$6)*(L58-Inputs!$B$6))/M58)&gt;M58-Inputs!$B$40),999,(ABS((K58-Inputs!$B$5)*((Inputs!$C$71*SIN((-$B58))-Inputs!$B$71*COS((-$B58)))-Inputs!$B$6)-(L58-Inputs!$B$6)*((Inputs!$C$71*COS((-$B58))+Inputs!$B$71*SIN((-$B58)))-Inputs!$B$5))/M58)-IF(((((Inputs!$C$71*COS((-$B58))+Inputs!$B$71*SIN((-$B58)))-Inputs!$B$5)*(K58-Inputs!$B$5)+((Inputs!$C$71*SIN((-$B58))-Inputs!$B$71*COS((-$B58)))-Inputs!$B$6)*(L58-Inputs!$B$6))/M58)&lt;$B$16,$B$7/2,$B$8/2)-Inputs!$B$39),IF(OR(Inputs!$C$72=0,((((Inputs!$C$72*COS((-$B58))+Inputs!$B$72*SIN((-$B58)))-Inputs!$B$5)*(K58-Inputs!$B$5)+((Inputs!$C$72*SIN((-$B58))-Inputs!$B$72*COS((-$B58)))-Inputs!$B$6)*(L58-Inputs!$B$6))/M58)&lt;0,((((Inputs!$C$72*COS((-$B58))+Inputs!$B$72*SIN((-$B58)))-Inputs!$B$5)*(K58-Inputs!$B$5)+((Inputs!$C$72*SIN((-$B58))-Inputs!$B$72*COS((-$B58)))-Inputs!$B$6)*(L58-Inputs!$B$6))/M58)&gt;M58-Inputs!$B$40),999,(ABS((K58-Inputs!$B$5)*((Inputs!$C$72*SIN((-$B58))-Inputs!$B$72*COS((-$B58)))-Inputs!$B$6)-(L58-Inputs!$B$6)*((Inputs!$C$72*COS((-$B58))+Inputs!$B$72*SIN((-$B58)))-Inputs!$B$5))/M58)-IF(((((Inputs!$C$72*COS((-$B58))+Inputs!$B$72*SIN((-$B58)))-Inputs!$B$5)*(K58-Inputs!$B$5)+((Inputs!$C$72*SIN((-$B58))-Inputs!$B$72*COS((-$B58)))-Inputs!$B$6)*(L58-Inputs!$B$6))/M58)&lt;$B$16,$B$7/2,$B$8/2)-Inputs!$B$39))</f>
        <v>20.55793567</v>
      </c>
      <c r="P58" s="76">
        <f>IF(AND(M58&gt;=$B$14,M58&lt;=$B$15,N58&lt;=Inputs!$B$38,O58&gt;=0,$D58=1),1,0)</f>
        <v>1</v>
      </c>
      <c r="X58" s="15">
        <v>11.5</v>
      </c>
      <c r="Y58" s="22">
        <f t="shared" si="1"/>
        <v>291.8</v>
      </c>
      <c r="Z58" s="22">
        <f>Inputs!$B$38</f>
        <v>350</v>
      </c>
      <c r="AA58" s="22">
        <f t="shared" si="2"/>
        <v>39.77341813</v>
      </c>
      <c r="AB58" s="15">
        <v>0.0</v>
      </c>
    </row>
    <row r="59" ht="15.75" customHeight="1">
      <c r="A59" s="23">
        <v>4.0</v>
      </c>
      <c r="B59" s="40">
        <f t="shared" si="4"/>
        <v>0.06981317008</v>
      </c>
      <c r="C59" s="29">
        <f>MAX(Inputs!$C$68*COS($B59)+Inputs!$B$68*ABS(SIN($B59)),Inputs!$C$69*COS($B59)+Inputs!$B$69*ABS(SIN($B59)),Inputs!$C$70*COS($B59)+Inputs!$B$70*ABS(SIN($B59)),Inputs!$C$71*COS($B59)+Inputs!$B$71*ABS(SIN($B59)),Inputs!$C$72*COS($B59)+Inputs!$B$72*ABS(SIN($B59)))</f>
        <v>106.6179314</v>
      </c>
      <c r="D59" s="71">
        <f>IF(C59&lt;=Inputs!$B$38,1,0)</f>
        <v>1</v>
      </c>
      <c r="E59" s="29">
        <f>Inputs!$B$11*COS(($B59))-Inputs!$B$7*SIN(($B59))</f>
        <v>109.5727968</v>
      </c>
      <c r="F59" s="29">
        <f>Inputs!$B$11*SIN(($B59))+Inputs!$B$7*COS(($B59))</f>
        <v>-192.8263033</v>
      </c>
      <c r="G59" s="29">
        <f>SQRT((E59-Inputs!$B$5)^2+(F59-Inputs!$B$6)^2)</f>
        <v>324.7568987</v>
      </c>
      <c r="H59" s="29">
        <f>MAX(MAX(Inputs!$B$5,(Inputs!$B$5+(E59-Inputs!$B$5)*MIN(1,$B$16/G59)))+$B$7/2,MAX((Inputs!$B$5+(E59-Inputs!$B$5)*MIN(1,$B$16/G59)),E59)+Inputs!$B$41)</f>
        <v>291.8</v>
      </c>
      <c r="I59" s="29">
        <f>MIN(IF(OR(Inputs!$C$68=0,((((Inputs!$C$68*COS(($B59))+Inputs!$B$68*SIN(($B59)))-Inputs!$B$5)*(E59-Inputs!$B$5)+((Inputs!$C$68*SIN(($B59))-Inputs!$B$68*COS(($B59)))-Inputs!$B$6)*(F59-Inputs!$B$6))/G59)&lt;0,((((Inputs!$C$68*COS(($B59))+Inputs!$B$68*SIN(($B59)))-Inputs!$B$5)*(E59-Inputs!$B$5)+((Inputs!$C$68*SIN(($B59))-Inputs!$B$68*COS(($B59)))-Inputs!$B$6)*(F59-Inputs!$B$6))/G59)&gt;G59-Inputs!$B$40),999,(ABS((E59-Inputs!$B$5)*((Inputs!$C$68*SIN(($B59))-Inputs!$B$68*COS(($B59)))-Inputs!$B$6)-(F59-Inputs!$B$6)*((Inputs!$C$68*COS(($B59))+Inputs!$B$68*SIN(($B59)))-Inputs!$B$5))/G59)-IF(((((Inputs!$C$68*COS(($B59))+Inputs!$B$68*SIN(($B59)))-Inputs!$B$5)*(E59-Inputs!$B$5)+((Inputs!$C$68*SIN(($B59))-Inputs!$B$68*COS(($B59)))-Inputs!$B$6)*(F59-Inputs!$B$6))/G59)&lt;$B$16,$B$7/2,$B$8/2)-Inputs!$B$39),IF(OR(Inputs!$C$69=0,((((Inputs!$C$69*COS(($B59))+Inputs!$B$69*SIN(($B59)))-Inputs!$B$5)*(E59-Inputs!$B$5)+((Inputs!$C$69*SIN(($B59))-Inputs!$B$69*COS(($B59)))-Inputs!$B$6)*(F59-Inputs!$B$6))/G59)&lt;0,((((Inputs!$C$69*COS(($B59))+Inputs!$B$69*SIN(($B59)))-Inputs!$B$5)*(E59-Inputs!$B$5)+((Inputs!$C$69*SIN(($B59))-Inputs!$B$69*COS(($B59)))-Inputs!$B$6)*(F59-Inputs!$B$6))/G59)&gt;G59-Inputs!$B$40),999,(ABS((E59-Inputs!$B$5)*((Inputs!$C$69*SIN(($B59))-Inputs!$B$69*COS(($B59)))-Inputs!$B$6)-(F59-Inputs!$B$6)*((Inputs!$C$69*COS(($B59))+Inputs!$B$69*SIN(($B59)))-Inputs!$B$5))/G59)-IF(((((Inputs!$C$69*COS(($B59))+Inputs!$B$69*SIN(($B59)))-Inputs!$B$5)*(E59-Inputs!$B$5)+((Inputs!$C$69*SIN(($B59))-Inputs!$B$69*COS(($B59)))-Inputs!$B$6)*(F59-Inputs!$B$6))/G59)&lt;$B$16,$B$7/2,$B$8/2)-Inputs!$B$39),IF(OR(Inputs!$C$70=0,((((Inputs!$C$70*COS(($B59))+Inputs!$B$70*SIN(($B59)))-Inputs!$B$5)*(E59-Inputs!$B$5)+((Inputs!$C$70*SIN(($B59))-Inputs!$B$70*COS(($B59)))-Inputs!$B$6)*(F59-Inputs!$B$6))/G59)&lt;0,((((Inputs!$C$70*COS(($B59))+Inputs!$B$70*SIN(($B59)))-Inputs!$B$5)*(E59-Inputs!$B$5)+((Inputs!$C$70*SIN(($B59))-Inputs!$B$70*COS(($B59)))-Inputs!$B$6)*(F59-Inputs!$B$6))/G59)&gt;G59-Inputs!$B$40),999,(ABS((E59-Inputs!$B$5)*((Inputs!$C$70*SIN(($B59))-Inputs!$B$70*COS(($B59)))-Inputs!$B$6)-(F59-Inputs!$B$6)*((Inputs!$C$70*COS(($B59))+Inputs!$B$70*SIN(($B59)))-Inputs!$B$5))/G59)-IF(((((Inputs!$C$70*COS(($B59))+Inputs!$B$70*SIN(($B59)))-Inputs!$B$5)*(E59-Inputs!$B$5)+((Inputs!$C$70*SIN(($B59))-Inputs!$B$70*COS(($B59)))-Inputs!$B$6)*(F59-Inputs!$B$6))/G59)&lt;$B$16,$B$7/2,$B$8/2)-Inputs!$B$39),IF(OR(Inputs!$C$71=0,((((Inputs!$C$71*COS(($B59))+Inputs!$B$71*SIN(($B59)))-Inputs!$B$5)*(E59-Inputs!$B$5)+((Inputs!$C$71*SIN(($B59))-Inputs!$B$71*COS(($B59)))-Inputs!$B$6)*(F59-Inputs!$B$6))/G59)&lt;0,((((Inputs!$C$71*COS(($B59))+Inputs!$B$71*SIN(($B59)))-Inputs!$B$5)*(E59-Inputs!$B$5)+((Inputs!$C$71*SIN(($B59))-Inputs!$B$71*COS(($B59)))-Inputs!$B$6)*(F59-Inputs!$B$6))/G59)&gt;G59-Inputs!$B$40),999,(ABS((E59-Inputs!$B$5)*((Inputs!$C$71*SIN(($B59))-Inputs!$B$71*COS(($B59)))-Inputs!$B$6)-(F59-Inputs!$B$6)*((Inputs!$C$71*COS(($B59))+Inputs!$B$71*SIN(($B59)))-Inputs!$B$5))/G59)-IF(((((Inputs!$C$71*COS(($B59))+Inputs!$B$71*SIN(($B59)))-Inputs!$B$5)*(E59-Inputs!$B$5)+((Inputs!$C$71*SIN(($B59))-Inputs!$B$71*COS(($B59)))-Inputs!$B$6)*(F59-Inputs!$B$6))/G59)&lt;$B$16,$B$7/2,$B$8/2)-Inputs!$B$39),IF(OR(Inputs!$C$72=0,((((Inputs!$C$72*COS(($B59))+Inputs!$B$72*SIN(($B59)))-Inputs!$B$5)*(E59-Inputs!$B$5)+((Inputs!$C$72*SIN(($B59))-Inputs!$B$72*COS(($B59)))-Inputs!$B$6)*(F59-Inputs!$B$6))/G59)&lt;0,((((Inputs!$C$72*COS(($B59))+Inputs!$B$72*SIN(($B59)))-Inputs!$B$5)*(E59-Inputs!$B$5)+((Inputs!$C$72*SIN(($B59))-Inputs!$B$72*COS(($B59)))-Inputs!$B$6)*(F59-Inputs!$B$6))/G59)&gt;G59-Inputs!$B$40),999,(ABS((E59-Inputs!$B$5)*((Inputs!$C$72*SIN(($B59))-Inputs!$B$72*COS(($B59)))-Inputs!$B$6)-(F59-Inputs!$B$6)*((Inputs!$C$72*COS(($B59))+Inputs!$B$72*SIN(($B59)))-Inputs!$B$5))/G59)-IF(((((Inputs!$C$72*COS(($B59))+Inputs!$B$72*SIN(($B59)))-Inputs!$B$5)*(E59-Inputs!$B$5)+((Inputs!$C$72*SIN(($B59))-Inputs!$B$72*COS(($B59)))-Inputs!$B$6)*(F59-Inputs!$B$6))/G59)&lt;$B$16,$B$7/2,$B$8/2)-Inputs!$B$39))</f>
        <v>30.44135504</v>
      </c>
      <c r="J59" s="76">
        <f>IF(AND(G59&gt;=$B$14,G59&lt;=$B$15,H59&lt;=Inputs!$B$38,I59&gt;=0,$D59=1),1,0)</f>
        <v>1</v>
      </c>
      <c r="K59" s="29">
        <f>Inputs!$B$11*COS((-$B59))-Inputs!$B$7*SIN((-$B59))</f>
        <v>81.67020729</v>
      </c>
      <c r="L59" s="29">
        <f>Inputs!$B$11*SIN((-$B59))+Inputs!$B$7*COS((-$B59))</f>
        <v>-206.1993168</v>
      </c>
      <c r="M59" s="29">
        <f>SQRT((K59-Inputs!$B$5)^2+(L59-Inputs!$B$6)^2)</f>
        <v>349.4180029</v>
      </c>
      <c r="N59" s="29">
        <f>MAX(MAX(Inputs!$B$5,(Inputs!$B$5+(K59-Inputs!$B$5)*MIN(1,$B$16/M59)))+$B$7/2,MAX((Inputs!$B$5+(K59-Inputs!$B$5)*MIN(1,$B$16/M59)),K59)+Inputs!$B$41)</f>
        <v>291.8</v>
      </c>
      <c r="O59" s="29">
        <f>MIN(IF(OR(Inputs!$C$68=0,((((Inputs!$C$68*COS((-$B59))+Inputs!$B$68*SIN((-$B59)))-Inputs!$B$5)*(K59-Inputs!$B$5)+((Inputs!$C$68*SIN((-$B59))-Inputs!$B$68*COS((-$B59)))-Inputs!$B$6)*(L59-Inputs!$B$6))/M59)&lt;0,((((Inputs!$C$68*COS((-$B59))+Inputs!$B$68*SIN((-$B59)))-Inputs!$B$5)*(K59-Inputs!$B$5)+((Inputs!$C$68*SIN((-$B59))-Inputs!$B$68*COS((-$B59)))-Inputs!$B$6)*(L59-Inputs!$B$6))/M59)&gt;M59-Inputs!$B$40),999,(ABS((K59-Inputs!$B$5)*((Inputs!$C$68*SIN((-$B59))-Inputs!$B$68*COS((-$B59)))-Inputs!$B$6)-(L59-Inputs!$B$6)*((Inputs!$C$68*COS((-$B59))+Inputs!$B$68*SIN((-$B59)))-Inputs!$B$5))/M59)-IF(((((Inputs!$C$68*COS((-$B59))+Inputs!$B$68*SIN((-$B59)))-Inputs!$B$5)*(K59-Inputs!$B$5)+((Inputs!$C$68*SIN((-$B59))-Inputs!$B$68*COS((-$B59)))-Inputs!$B$6)*(L59-Inputs!$B$6))/M59)&lt;$B$16,$B$7/2,$B$8/2)-Inputs!$B$39),IF(OR(Inputs!$C$69=0,((((Inputs!$C$69*COS((-$B59))+Inputs!$B$69*SIN((-$B59)))-Inputs!$B$5)*(K59-Inputs!$B$5)+((Inputs!$C$69*SIN((-$B59))-Inputs!$B$69*COS((-$B59)))-Inputs!$B$6)*(L59-Inputs!$B$6))/M59)&lt;0,((((Inputs!$C$69*COS((-$B59))+Inputs!$B$69*SIN((-$B59)))-Inputs!$B$5)*(K59-Inputs!$B$5)+((Inputs!$C$69*SIN((-$B59))-Inputs!$B$69*COS((-$B59)))-Inputs!$B$6)*(L59-Inputs!$B$6))/M59)&gt;M59-Inputs!$B$40),999,(ABS((K59-Inputs!$B$5)*((Inputs!$C$69*SIN((-$B59))-Inputs!$B$69*COS((-$B59)))-Inputs!$B$6)-(L59-Inputs!$B$6)*((Inputs!$C$69*COS((-$B59))+Inputs!$B$69*SIN((-$B59)))-Inputs!$B$5))/M59)-IF(((((Inputs!$C$69*COS((-$B59))+Inputs!$B$69*SIN((-$B59)))-Inputs!$B$5)*(K59-Inputs!$B$5)+((Inputs!$C$69*SIN((-$B59))-Inputs!$B$69*COS((-$B59)))-Inputs!$B$6)*(L59-Inputs!$B$6))/M59)&lt;$B$16,$B$7/2,$B$8/2)-Inputs!$B$39),IF(OR(Inputs!$C$70=0,((((Inputs!$C$70*COS((-$B59))+Inputs!$B$70*SIN((-$B59)))-Inputs!$B$5)*(K59-Inputs!$B$5)+((Inputs!$C$70*SIN((-$B59))-Inputs!$B$70*COS((-$B59)))-Inputs!$B$6)*(L59-Inputs!$B$6))/M59)&lt;0,((((Inputs!$C$70*COS((-$B59))+Inputs!$B$70*SIN((-$B59)))-Inputs!$B$5)*(K59-Inputs!$B$5)+((Inputs!$C$70*SIN((-$B59))-Inputs!$B$70*COS((-$B59)))-Inputs!$B$6)*(L59-Inputs!$B$6))/M59)&gt;M59-Inputs!$B$40),999,(ABS((K59-Inputs!$B$5)*((Inputs!$C$70*SIN((-$B59))-Inputs!$B$70*COS((-$B59)))-Inputs!$B$6)-(L59-Inputs!$B$6)*((Inputs!$C$70*COS((-$B59))+Inputs!$B$70*SIN((-$B59)))-Inputs!$B$5))/M59)-IF(((((Inputs!$C$70*COS((-$B59))+Inputs!$B$70*SIN((-$B59)))-Inputs!$B$5)*(K59-Inputs!$B$5)+((Inputs!$C$70*SIN((-$B59))-Inputs!$B$70*COS((-$B59)))-Inputs!$B$6)*(L59-Inputs!$B$6))/M59)&lt;$B$16,$B$7/2,$B$8/2)-Inputs!$B$39),IF(OR(Inputs!$C$71=0,((((Inputs!$C$71*COS((-$B59))+Inputs!$B$71*SIN((-$B59)))-Inputs!$B$5)*(K59-Inputs!$B$5)+((Inputs!$C$71*SIN((-$B59))-Inputs!$B$71*COS((-$B59)))-Inputs!$B$6)*(L59-Inputs!$B$6))/M59)&lt;0,((((Inputs!$C$71*COS((-$B59))+Inputs!$B$71*SIN((-$B59)))-Inputs!$B$5)*(K59-Inputs!$B$5)+((Inputs!$C$71*SIN((-$B59))-Inputs!$B$71*COS((-$B59)))-Inputs!$B$6)*(L59-Inputs!$B$6))/M59)&gt;M59-Inputs!$B$40),999,(ABS((K59-Inputs!$B$5)*((Inputs!$C$71*SIN((-$B59))-Inputs!$B$71*COS((-$B59)))-Inputs!$B$6)-(L59-Inputs!$B$6)*((Inputs!$C$71*COS((-$B59))+Inputs!$B$71*SIN((-$B59)))-Inputs!$B$5))/M59)-IF(((((Inputs!$C$71*COS((-$B59))+Inputs!$B$71*SIN((-$B59)))-Inputs!$B$5)*(K59-Inputs!$B$5)+((Inputs!$C$71*SIN((-$B59))-Inputs!$B$71*COS((-$B59)))-Inputs!$B$6)*(L59-Inputs!$B$6))/M59)&lt;$B$16,$B$7/2,$B$8/2)-Inputs!$B$39),IF(OR(Inputs!$C$72=0,((((Inputs!$C$72*COS((-$B59))+Inputs!$B$72*SIN((-$B59)))-Inputs!$B$5)*(K59-Inputs!$B$5)+((Inputs!$C$72*SIN((-$B59))-Inputs!$B$72*COS((-$B59)))-Inputs!$B$6)*(L59-Inputs!$B$6))/M59)&lt;0,((((Inputs!$C$72*COS((-$B59))+Inputs!$B$72*SIN((-$B59)))-Inputs!$B$5)*(K59-Inputs!$B$5)+((Inputs!$C$72*SIN((-$B59))-Inputs!$B$72*COS((-$B59)))-Inputs!$B$6)*(L59-Inputs!$B$6))/M59)&gt;M59-Inputs!$B$40),999,(ABS((K59-Inputs!$B$5)*((Inputs!$C$72*SIN((-$B59))-Inputs!$B$72*COS((-$B59)))-Inputs!$B$6)-(L59-Inputs!$B$6)*((Inputs!$C$72*COS((-$B59))+Inputs!$B$72*SIN((-$B59)))-Inputs!$B$5))/M59)-IF(((((Inputs!$C$72*COS((-$B59))+Inputs!$B$72*SIN((-$B59)))-Inputs!$B$5)*(K59-Inputs!$B$5)+((Inputs!$C$72*SIN((-$B59))-Inputs!$B$72*COS((-$B59)))-Inputs!$B$6)*(L59-Inputs!$B$6))/M59)&lt;$B$16,$B$7/2,$B$8/2)-Inputs!$B$39))</f>
        <v>20.23541834</v>
      </c>
      <c r="P59" s="76">
        <f>IF(AND(M59&gt;=$B$14,M59&lt;=$B$15,N59&lt;=Inputs!$B$38,O59&gt;=0,$D59=1),1,0)</f>
        <v>1</v>
      </c>
      <c r="X59" s="15">
        <v>12.0</v>
      </c>
      <c r="Y59" s="22">
        <f t="shared" si="1"/>
        <v>291.8</v>
      </c>
      <c r="Z59" s="22">
        <f>Inputs!$B$38</f>
        <v>350</v>
      </c>
      <c r="AA59" s="22">
        <f t="shared" si="2"/>
        <v>40.31835049</v>
      </c>
      <c r="AB59" s="15">
        <v>0.0</v>
      </c>
    </row>
    <row r="60" ht="15.75" customHeight="1">
      <c r="A60" s="23">
        <v>4.25</v>
      </c>
      <c r="B60" s="40">
        <f t="shared" si="4"/>
        <v>0.07417649321</v>
      </c>
      <c r="C60" s="29">
        <f>MAX(Inputs!$C$68*COS($B60)+Inputs!$B$68*ABS(SIN($B60)),Inputs!$C$69*COS($B60)+Inputs!$B$69*ABS(SIN($B60)),Inputs!$C$70*COS($B60)+Inputs!$B$70*ABS(SIN($B60)),Inputs!$C$71*COS($B60)+Inputs!$B$71*ABS(SIN($B60)),Inputs!$C$72*COS($B60)+Inputs!$B$72*ABS(SIN($B60)))</f>
        <v>108.3281893</v>
      </c>
      <c r="D60" s="71">
        <f>IF(C60&lt;=Inputs!$B$38,1,0)</f>
        <v>1</v>
      </c>
      <c r="E60" s="29">
        <f>Inputs!$B$11*COS(($B60))-Inputs!$B$7*SIN(($B60))</f>
        <v>110.4131145</v>
      </c>
      <c r="F60" s="29">
        <f>Inputs!$B$11*SIN(($B60))+Inputs!$B$7*COS(($B60))</f>
        <v>-192.3463677</v>
      </c>
      <c r="G60" s="29">
        <f>SQRT((E60-Inputs!$B$5)^2+(F60-Inputs!$B$6)^2)</f>
        <v>323.9612589</v>
      </c>
      <c r="H60" s="29">
        <f>MAX(MAX(Inputs!$B$5,(Inputs!$B$5+(E60-Inputs!$B$5)*MIN(1,$B$16/G60)))+$B$7/2,MAX((Inputs!$B$5+(E60-Inputs!$B$5)*MIN(1,$B$16/G60)),E60)+Inputs!$B$41)</f>
        <v>291.8</v>
      </c>
      <c r="I60" s="29">
        <f>MIN(IF(OR(Inputs!$C$68=0,((((Inputs!$C$68*COS(($B60))+Inputs!$B$68*SIN(($B60)))-Inputs!$B$5)*(E60-Inputs!$B$5)+((Inputs!$C$68*SIN(($B60))-Inputs!$B$68*COS(($B60)))-Inputs!$B$6)*(F60-Inputs!$B$6))/G60)&lt;0,((((Inputs!$C$68*COS(($B60))+Inputs!$B$68*SIN(($B60)))-Inputs!$B$5)*(E60-Inputs!$B$5)+((Inputs!$C$68*SIN(($B60))-Inputs!$B$68*COS(($B60)))-Inputs!$B$6)*(F60-Inputs!$B$6))/G60)&gt;G60-Inputs!$B$40),999,(ABS((E60-Inputs!$B$5)*((Inputs!$C$68*SIN(($B60))-Inputs!$B$68*COS(($B60)))-Inputs!$B$6)-(F60-Inputs!$B$6)*((Inputs!$C$68*COS(($B60))+Inputs!$B$68*SIN(($B60)))-Inputs!$B$5))/G60)-IF(((((Inputs!$C$68*COS(($B60))+Inputs!$B$68*SIN(($B60)))-Inputs!$B$5)*(E60-Inputs!$B$5)+((Inputs!$C$68*SIN(($B60))-Inputs!$B$68*COS(($B60)))-Inputs!$B$6)*(F60-Inputs!$B$6))/G60)&lt;$B$16,$B$7/2,$B$8/2)-Inputs!$B$39),IF(OR(Inputs!$C$69=0,((((Inputs!$C$69*COS(($B60))+Inputs!$B$69*SIN(($B60)))-Inputs!$B$5)*(E60-Inputs!$B$5)+((Inputs!$C$69*SIN(($B60))-Inputs!$B$69*COS(($B60)))-Inputs!$B$6)*(F60-Inputs!$B$6))/G60)&lt;0,((((Inputs!$C$69*COS(($B60))+Inputs!$B$69*SIN(($B60)))-Inputs!$B$5)*(E60-Inputs!$B$5)+((Inputs!$C$69*SIN(($B60))-Inputs!$B$69*COS(($B60)))-Inputs!$B$6)*(F60-Inputs!$B$6))/G60)&gt;G60-Inputs!$B$40),999,(ABS((E60-Inputs!$B$5)*((Inputs!$C$69*SIN(($B60))-Inputs!$B$69*COS(($B60)))-Inputs!$B$6)-(F60-Inputs!$B$6)*((Inputs!$C$69*COS(($B60))+Inputs!$B$69*SIN(($B60)))-Inputs!$B$5))/G60)-IF(((((Inputs!$C$69*COS(($B60))+Inputs!$B$69*SIN(($B60)))-Inputs!$B$5)*(E60-Inputs!$B$5)+((Inputs!$C$69*SIN(($B60))-Inputs!$B$69*COS(($B60)))-Inputs!$B$6)*(F60-Inputs!$B$6))/G60)&lt;$B$16,$B$7/2,$B$8/2)-Inputs!$B$39),IF(OR(Inputs!$C$70=0,((((Inputs!$C$70*COS(($B60))+Inputs!$B$70*SIN(($B60)))-Inputs!$B$5)*(E60-Inputs!$B$5)+((Inputs!$C$70*SIN(($B60))-Inputs!$B$70*COS(($B60)))-Inputs!$B$6)*(F60-Inputs!$B$6))/G60)&lt;0,((((Inputs!$C$70*COS(($B60))+Inputs!$B$70*SIN(($B60)))-Inputs!$B$5)*(E60-Inputs!$B$5)+((Inputs!$C$70*SIN(($B60))-Inputs!$B$70*COS(($B60)))-Inputs!$B$6)*(F60-Inputs!$B$6))/G60)&gt;G60-Inputs!$B$40),999,(ABS((E60-Inputs!$B$5)*((Inputs!$C$70*SIN(($B60))-Inputs!$B$70*COS(($B60)))-Inputs!$B$6)-(F60-Inputs!$B$6)*((Inputs!$C$70*COS(($B60))+Inputs!$B$70*SIN(($B60)))-Inputs!$B$5))/G60)-IF(((((Inputs!$C$70*COS(($B60))+Inputs!$B$70*SIN(($B60)))-Inputs!$B$5)*(E60-Inputs!$B$5)+((Inputs!$C$70*SIN(($B60))-Inputs!$B$70*COS(($B60)))-Inputs!$B$6)*(F60-Inputs!$B$6))/G60)&lt;$B$16,$B$7/2,$B$8/2)-Inputs!$B$39),IF(OR(Inputs!$C$71=0,((((Inputs!$C$71*COS(($B60))+Inputs!$B$71*SIN(($B60)))-Inputs!$B$5)*(E60-Inputs!$B$5)+((Inputs!$C$71*SIN(($B60))-Inputs!$B$71*COS(($B60)))-Inputs!$B$6)*(F60-Inputs!$B$6))/G60)&lt;0,((((Inputs!$C$71*COS(($B60))+Inputs!$B$71*SIN(($B60)))-Inputs!$B$5)*(E60-Inputs!$B$5)+((Inputs!$C$71*SIN(($B60))-Inputs!$B$71*COS(($B60)))-Inputs!$B$6)*(F60-Inputs!$B$6))/G60)&gt;G60-Inputs!$B$40),999,(ABS((E60-Inputs!$B$5)*((Inputs!$C$71*SIN(($B60))-Inputs!$B$71*COS(($B60)))-Inputs!$B$6)-(F60-Inputs!$B$6)*((Inputs!$C$71*COS(($B60))+Inputs!$B$71*SIN(($B60)))-Inputs!$B$5))/G60)-IF(((((Inputs!$C$71*COS(($B60))+Inputs!$B$71*SIN(($B60)))-Inputs!$B$5)*(E60-Inputs!$B$5)+((Inputs!$C$71*SIN(($B60))-Inputs!$B$71*COS(($B60)))-Inputs!$B$6)*(F60-Inputs!$B$6))/G60)&lt;$B$16,$B$7/2,$B$8/2)-Inputs!$B$39),IF(OR(Inputs!$C$72=0,((((Inputs!$C$72*COS(($B60))+Inputs!$B$72*SIN(($B60)))-Inputs!$B$5)*(E60-Inputs!$B$5)+((Inputs!$C$72*SIN(($B60))-Inputs!$B$72*COS(($B60)))-Inputs!$B$6)*(F60-Inputs!$B$6))/G60)&lt;0,((((Inputs!$C$72*COS(($B60))+Inputs!$B$72*SIN(($B60)))-Inputs!$B$5)*(E60-Inputs!$B$5)+((Inputs!$C$72*SIN(($B60))-Inputs!$B$72*COS(($B60)))-Inputs!$B$6)*(F60-Inputs!$B$6))/G60)&gt;G60-Inputs!$B$40),999,(ABS((E60-Inputs!$B$5)*((Inputs!$C$72*SIN(($B60))-Inputs!$B$72*COS(($B60)))-Inputs!$B$6)-(F60-Inputs!$B$6)*((Inputs!$C$72*COS(($B60))+Inputs!$B$72*SIN(($B60)))-Inputs!$B$5))/G60)-IF(((((Inputs!$C$72*COS(($B60))+Inputs!$B$72*SIN(($B60)))-Inputs!$B$5)*(E60-Inputs!$B$5)+((Inputs!$C$72*SIN(($B60))-Inputs!$B$72*COS(($B60)))-Inputs!$B$6)*(F60-Inputs!$B$6))/G60)&lt;$B$16,$B$7/2,$B$8/2)-Inputs!$B$39))</f>
        <v>30.75627728</v>
      </c>
      <c r="J60" s="76">
        <f>IF(AND(G60&gt;=$B$14,G60&lt;=$B$15,H60&lt;=Inputs!$B$38,I60&gt;=0,$D60=1),1,0)</f>
        <v>1</v>
      </c>
      <c r="K60" s="29">
        <f>Inputs!$B$11*COS((-$B60))-Inputs!$B$7*SIN((-$B60))</f>
        <v>80.76971845</v>
      </c>
      <c r="L60" s="29">
        <f>Inputs!$B$11*SIN((-$B60))+Inputs!$B$7*COS((-$B60))</f>
        <v>-206.5537063</v>
      </c>
      <c r="M60" s="29">
        <f>SQRT((K60-Inputs!$B$5)^2+(L60-Inputs!$B$6)^2)</f>
        <v>350.1629093</v>
      </c>
      <c r="N60" s="29">
        <f>MAX(MAX(Inputs!$B$5,(Inputs!$B$5+(K60-Inputs!$B$5)*MIN(1,$B$16/M60)))+$B$7/2,MAX((Inputs!$B$5+(K60-Inputs!$B$5)*MIN(1,$B$16/M60)),K60)+Inputs!$B$41)</f>
        <v>291.8</v>
      </c>
      <c r="O60" s="29">
        <f>MIN(IF(OR(Inputs!$C$68=0,((((Inputs!$C$68*COS((-$B60))+Inputs!$B$68*SIN((-$B60)))-Inputs!$B$5)*(K60-Inputs!$B$5)+((Inputs!$C$68*SIN((-$B60))-Inputs!$B$68*COS((-$B60)))-Inputs!$B$6)*(L60-Inputs!$B$6))/M60)&lt;0,((((Inputs!$C$68*COS((-$B60))+Inputs!$B$68*SIN((-$B60)))-Inputs!$B$5)*(K60-Inputs!$B$5)+((Inputs!$C$68*SIN((-$B60))-Inputs!$B$68*COS((-$B60)))-Inputs!$B$6)*(L60-Inputs!$B$6))/M60)&gt;M60-Inputs!$B$40),999,(ABS((K60-Inputs!$B$5)*((Inputs!$C$68*SIN((-$B60))-Inputs!$B$68*COS((-$B60)))-Inputs!$B$6)-(L60-Inputs!$B$6)*((Inputs!$C$68*COS((-$B60))+Inputs!$B$68*SIN((-$B60)))-Inputs!$B$5))/M60)-IF(((((Inputs!$C$68*COS((-$B60))+Inputs!$B$68*SIN((-$B60)))-Inputs!$B$5)*(K60-Inputs!$B$5)+((Inputs!$C$68*SIN((-$B60))-Inputs!$B$68*COS((-$B60)))-Inputs!$B$6)*(L60-Inputs!$B$6))/M60)&lt;$B$16,$B$7/2,$B$8/2)-Inputs!$B$39),IF(OR(Inputs!$C$69=0,((((Inputs!$C$69*COS((-$B60))+Inputs!$B$69*SIN((-$B60)))-Inputs!$B$5)*(K60-Inputs!$B$5)+((Inputs!$C$69*SIN((-$B60))-Inputs!$B$69*COS((-$B60)))-Inputs!$B$6)*(L60-Inputs!$B$6))/M60)&lt;0,((((Inputs!$C$69*COS((-$B60))+Inputs!$B$69*SIN((-$B60)))-Inputs!$B$5)*(K60-Inputs!$B$5)+((Inputs!$C$69*SIN((-$B60))-Inputs!$B$69*COS((-$B60)))-Inputs!$B$6)*(L60-Inputs!$B$6))/M60)&gt;M60-Inputs!$B$40),999,(ABS((K60-Inputs!$B$5)*((Inputs!$C$69*SIN((-$B60))-Inputs!$B$69*COS((-$B60)))-Inputs!$B$6)-(L60-Inputs!$B$6)*((Inputs!$C$69*COS((-$B60))+Inputs!$B$69*SIN((-$B60)))-Inputs!$B$5))/M60)-IF(((((Inputs!$C$69*COS((-$B60))+Inputs!$B$69*SIN((-$B60)))-Inputs!$B$5)*(K60-Inputs!$B$5)+((Inputs!$C$69*SIN((-$B60))-Inputs!$B$69*COS((-$B60)))-Inputs!$B$6)*(L60-Inputs!$B$6))/M60)&lt;$B$16,$B$7/2,$B$8/2)-Inputs!$B$39),IF(OR(Inputs!$C$70=0,((((Inputs!$C$70*COS((-$B60))+Inputs!$B$70*SIN((-$B60)))-Inputs!$B$5)*(K60-Inputs!$B$5)+((Inputs!$C$70*SIN((-$B60))-Inputs!$B$70*COS((-$B60)))-Inputs!$B$6)*(L60-Inputs!$B$6))/M60)&lt;0,((((Inputs!$C$70*COS((-$B60))+Inputs!$B$70*SIN((-$B60)))-Inputs!$B$5)*(K60-Inputs!$B$5)+((Inputs!$C$70*SIN((-$B60))-Inputs!$B$70*COS((-$B60)))-Inputs!$B$6)*(L60-Inputs!$B$6))/M60)&gt;M60-Inputs!$B$40),999,(ABS((K60-Inputs!$B$5)*((Inputs!$C$70*SIN((-$B60))-Inputs!$B$70*COS((-$B60)))-Inputs!$B$6)-(L60-Inputs!$B$6)*((Inputs!$C$70*COS((-$B60))+Inputs!$B$70*SIN((-$B60)))-Inputs!$B$5))/M60)-IF(((((Inputs!$C$70*COS((-$B60))+Inputs!$B$70*SIN((-$B60)))-Inputs!$B$5)*(K60-Inputs!$B$5)+((Inputs!$C$70*SIN((-$B60))-Inputs!$B$70*COS((-$B60)))-Inputs!$B$6)*(L60-Inputs!$B$6))/M60)&lt;$B$16,$B$7/2,$B$8/2)-Inputs!$B$39),IF(OR(Inputs!$C$71=0,((((Inputs!$C$71*COS((-$B60))+Inputs!$B$71*SIN((-$B60)))-Inputs!$B$5)*(K60-Inputs!$B$5)+((Inputs!$C$71*SIN((-$B60))-Inputs!$B$71*COS((-$B60)))-Inputs!$B$6)*(L60-Inputs!$B$6))/M60)&lt;0,((((Inputs!$C$71*COS((-$B60))+Inputs!$B$71*SIN((-$B60)))-Inputs!$B$5)*(K60-Inputs!$B$5)+((Inputs!$C$71*SIN((-$B60))-Inputs!$B$71*COS((-$B60)))-Inputs!$B$6)*(L60-Inputs!$B$6))/M60)&gt;M60-Inputs!$B$40),999,(ABS((K60-Inputs!$B$5)*((Inputs!$C$71*SIN((-$B60))-Inputs!$B$71*COS((-$B60)))-Inputs!$B$6)-(L60-Inputs!$B$6)*((Inputs!$C$71*COS((-$B60))+Inputs!$B$71*SIN((-$B60)))-Inputs!$B$5))/M60)-IF(((((Inputs!$C$71*COS((-$B60))+Inputs!$B$71*SIN((-$B60)))-Inputs!$B$5)*(K60-Inputs!$B$5)+((Inputs!$C$71*SIN((-$B60))-Inputs!$B$71*COS((-$B60)))-Inputs!$B$6)*(L60-Inputs!$B$6))/M60)&lt;$B$16,$B$7/2,$B$8/2)-Inputs!$B$39),IF(OR(Inputs!$C$72=0,((((Inputs!$C$72*COS((-$B60))+Inputs!$B$72*SIN((-$B60)))-Inputs!$B$5)*(K60-Inputs!$B$5)+((Inputs!$C$72*SIN((-$B60))-Inputs!$B$72*COS((-$B60)))-Inputs!$B$6)*(L60-Inputs!$B$6))/M60)&lt;0,((((Inputs!$C$72*COS((-$B60))+Inputs!$B$72*SIN((-$B60)))-Inputs!$B$5)*(K60-Inputs!$B$5)+((Inputs!$C$72*SIN((-$B60))-Inputs!$B$72*COS((-$B60)))-Inputs!$B$6)*(L60-Inputs!$B$6))/M60)&gt;M60-Inputs!$B$40),999,(ABS((K60-Inputs!$B$5)*((Inputs!$C$72*SIN((-$B60))-Inputs!$B$72*COS((-$B60)))-Inputs!$B$6)-(L60-Inputs!$B$6)*((Inputs!$C$72*COS((-$B60))+Inputs!$B$72*SIN((-$B60)))-Inputs!$B$5))/M60)-IF(((((Inputs!$C$72*COS((-$B60))+Inputs!$B$72*SIN((-$B60)))-Inputs!$B$5)*(K60-Inputs!$B$5)+((Inputs!$C$72*SIN((-$B60))-Inputs!$B$72*COS((-$B60)))-Inputs!$B$6)*(L60-Inputs!$B$6))/M60)&lt;$B$16,$B$7/2,$B$8/2)-Inputs!$B$39))</f>
        <v>19.91268274</v>
      </c>
      <c r="P60" s="76">
        <f>IF(AND(M60&gt;=$B$14,M60&lt;=$B$15,N60&lt;=Inputs!$B$38,O60&gt;=0,$D60=1),1,0)</f>
        <v>1</v>
      </c>
      <c r="X60" s="15">
        <v>12.5</v>
      </c>
      <c r="Y60" s="22">
        <f t="shared" si="1"/>
        <v>291.8</v>
      </c>
      <c r="Z60" s="22">
        <f>Inputs!$B$38</f>
        <v>350</v>
      </c>
      <c r="AA60" s="22">
        <f t="shared" si="2"/>
        <v>40.69648682</v>
      </c>
      <c r="AB60" s="15">
        <v>0.0</v>
      </c>
    </row>
    <row r="61" ht="15.75" customHeight="1">
      <c r="A61" s="23">
        <v>4.5</v>
      </c>
      <c r="B61" s="40">
        <f t="shared" si="4"/>
        <v>0.07853981634</v>
      </c>
      <c r="C61" s="29">
        <f>MAX(Inputs!$C$68*COS($B61)+Inputs!$B$68*ABS(SIN($B61)),Inputs!$C$69*COS($B61)+Inputs!$B$69*ABS(SIN($B61)),Inputs!$C$70*COS($B61)+Inputs!$B$70*ABS(SIN($B61)),Inputs!$C$71*COS($B61)+Inputs!$B$71*ABS(SIN($B61)),Inputs!$C$72*COS($B61)+Inputs!$B$72*ABS(SIN($B61)))</f>
        <v>110.0363847</v>
      </c>
      <c r="D61" s="71">
        <f>IF(C61&lt;=Inputs!$B$38,1,0)</f>
        <v>1</v>
      </c>
      <c r="E61" s="29">
        <f>Inputs!$B$11*COS(($B61))-Inputs!$B$7*SIN(($B61))</f>
        <v>111.2513302</v>
      </c>
      <c r="F61" s="29">
        <f>Inputs!$B$11*SIN(($B61))+Inputs!$B$7*COS(($B61))</f>
        <v>-191.8627701</v>
      </c>
      <c r="G61" s="29">
        <f>SQRT((E61-Inputs!$B$5)^2+(F61-Inputs!$B$6)^2)</f>
        <v>323.1641533</v>
      </c>
      <c r="H61" s="29">
        <f>MAX(MAX(Inputs!$B$5,(Inputs!$B$5+(E61-Inputs!$B$5)*MIN(1,$B$16/G61)))+$B$7/2,MAX((Inputs!$B$5+(E61-Inputs!$B$5)*MIN(1,$B$16/G61)),E61)+Inputs!$B$41)</f>
        <v>291.8</v>
      </c>
      <c r="I61" s="29">
        <f>MIN(IF(OR(Inputs!$C$68=0,((((Inputs!$C$68*COS(($B61))+Inputs!$B$68*SIN(($B61)))-Inputs!$B$5)*(E61-Inputs!$B$5)+((Inputs!$C$68*SIN(($B61))-Inputs!$B$68*COS(($B61)))-Inputs!$B$6)*(F61-Inputs!$B$6))/G61)&lt;0,((((Inputs!$C$68*COS(($B61))+Inputs!$B$68*SIN(($B61)))-Inputs!$B$5)*(E61-Inputs!$B$5)+((Inputs!$C$68*SIN(($B61))-Inputs!$B$68*COS(($B61)))-Inputs!$B$6)*(F61-Inputs!$B$6))/G61)&gt;G61-Inputs!$B$40),999,(ABS((E61-Inputs!$B$5)*((Inputs!$C$68*SIN(($B61))-Inputs!$B$68*COS(($B61)))-Inputs!$B$6)-(F61-Inputs!$B$6)*((Inputs!$C$68*COS(($B61))+Inputs!$B$68*SIN(($B61)))-Inputs!$B$5))/G61)-IF(((((Inputs!$C$68*COS(($B61))+Inputs!$B$68*SIN(($B61)))-Inputs!$B$5)*(E61-Inputs!$B$5)+((Inputs!$C$68*SIN(($B61))-Inputs!$B$68*COS(($B61)))-Inputs!$B$6)*(F61-Inputs!$B$6))/G61)&lt;$B$16,$B$7/2,$B$8/2)-Inputs!$B$39),IF(OR(Inputs!$C$69=0,((((Inputs!$C$69*COS(($B61))+Inputs!$B$69*SIN(($B61)))-Inputs!$B$5)*(E61-Inputs!$B$5)+((Inputs!$C$69*SIN(($B61))-Inputs!$B$69*COS(($B61)))-Inputs!$B$6)*(F61-Inputs!$B$6))/G61)&lt;0,((((Inputs!$C$69*COS(($B61))+Inputs!$B$69*SIN(($B61)))-Inputs!$B$5)*(E61-Inputs!$B$5)+((Inputs!$C$69*SIN(($B61))-Inputs!$B$69*COS(($B61)))-Inputs!$B$6)*(F61-Inputs!$B$6))/G61)&gt;G61-Inputs!$B$40),999,(ABS((E61-Inputs!$B$5)*((Inputs!$C$69*SIN(($B61))-Inputs!$B$69*COS(($B61)))-Inputs!$B$6)-(F61-Inputs!$B$6)*((Inputs!$C$69*COS(($B61))+Inputs!$B$69*SIN(($B61)))-Inputs!$B$5))/G61)-IF(((((Inputs!$C$69*COS(($B61))+Inputs!$B$69*SIN(($B61)))-Inputs!$B$5)*(E61-Inputs!$B$5)+((Inputs!$C$69*SIN(($B61))-Inputs!$B$69*COS(($B61)))-Inputs!$B$6)*(F61-Inputs!$B$6))/G61)&lt;$B$16,$B$7/2,$B$8/2)-Inputs!$B$39),IF(OR(Inputs!$C$70=0,((((Inputs!$C$70*COS(($B61))+Inputs!$B$70*SIN(($B61)))-Inputs!$B$5)*(E61-Inputs!$B$5)+((Inputs!$C$70*SIN(($B61))-Inputs!$B$70*COS(($B61)))-Inputs!$B$6)*(F61-Inputs!$B$6))/G61)&lt;0,((((Inputs!$C$70*COS(($B61))+Inputs!$B$70*SIN(($B61)))-Inputs!$B$5)*(E61-Inputs!$B$5)+((Inputs!$C$70*SIN(($B61))-Inputs!$B$70*COS(($B61)))-Inputs!$B$6)*(F61-Inputs!$B$6))/G61)&gt;G61-Inputs!$B$40),999,(ABS((E61-Inputs!$B$5)*((Inputs!$C$70*SIN(($B61))-Inputs!$B$70*COS(($B61)))-Inputs!$B$6)-(F61-Inputs!$B$6)*((Inputs!$C$70*COS(($B61))+Inputs!$B$70*SIN(($B61)))-Inputs!$B$5))/G61)-IF(((((Inputs!$C$70*COS(($B61))+Inputs!$B$70*SIN(($B61)))-Inputs!$B$5)*(E61-Inputs!$B$5)+((Inputs!$C$70*SIN(($B61))-Inputs!$B$70*COS(($B61)))-Inputs!$B$6)*(F61-Inputs!$B$6))/G61)&lt;$B$16,$B$7/2,$B$8/2)-Inputs!$B$39),IF(OR(Inputs!$C$71=0,((((Inputs!$C$71*COS(($B61))+Inputs!$B$71*SIN(($B61)))-Inputs!$B$5)*(E61-Inputs!$B$5)+((Inputs!$C$71*SIN(($B61))-Inputs!$B$71*COS(($B61)))-Inputs!$B$6)*(F61-Inputs!$B$6))/G61)&lt;0,((((Inputs!$C$71*COS(($B61))+Inputs!$B$71*SIN(($B61)))-Inputs!$B$5)*(E61-Inputs!$B$5)+((Inputs!$C$71*SIN(($B61))-Inputs!$B$71*COS(($B61)))-Inputs!$B$6)*(F61-Inputs!$B$6))/G61)&gt;G61-Inputs!$B$40),999,(ABS((E61-Inputs!$B$5)*((Inputs!$C$71*SIN(($B61))-Inputs!$B$71*COS(($B61)))-Inputs!$B$6)-(F61-Inputs!$B$6)*((Inputs!$C$71*COS(($B61))+Inputs!$B$71*SIN(($B61)))-Inputs!$B$5))/G61)-IF(((((Inputs!$C$71*COS(($B61))+Inputs!$B$71*SIN(($B61)))-Inputs!$B$5)*(E61-Inputs!$B$5)+((Inputs!$C$71*SIN(($B61))-Inputs!$B$71*COS(($B61)))-Inputs!$B$6)*(F61-Inputs!$B$6))/G61)&lt;$B$16,$B$7/2,$B$8/2)-Inputs!$B$39),IF(OR(Inputs!$C$72=0,((((Inputs!$C$72*COS(($B61))+Inputs!$B$72*SIN(($B61)))-Inputs!$B$5)*(E61-Inputs!$B$5)+((Inputs!$C$72*SIN(($B61))-Inputs!$B$72*COS(($B61)))-Inputs!$B$6)*(F61-Inputs!$B$6))/G61)&lt;0,((((Inputs!$C$72*COS(($B61))+Inputs!$B$72*SIN(($B61)))-Inputs!$B$5)*(E61-Inputs!$B$5)+((Inputs!$C$72*SIN(($B61))-Inputs!$B$72*COS(($B61)))-Inputs!$B$6)*(F61-Inputs!$B$6))/G61)&gt;G61-Inputs!$B$40),999,(ABS((E61-Inputs!$B$5)*((Inputs!$C$72*SIN(($B61))-Inputs!$B$72*COS(($B61)))-Inputs!$B$6)-(F61-Inputs!$B$6)*((Inputs!$C$72*COS(($B61))+Inputs!$B$72*SIN(($B61)))-Inputs!$B$5))/G61)-IF(((((Inputs!$C$72*COS(($B61))+Inputs!$B$72*SIN(($B61)))-Inputs!$B$5)*(E61-Inputs!$B$5)+((Inputs!$C$72*SIN(($B61))-Inputs!$B$72*COS(($B61)))-Inputs!$B$6)*(F61-Inputs!$B$6))/G61)&lt;$B$16,$B$7/2,$B$8/2)-Inputs!$B$39))</f>
        <v>31.07094368</v>
      </c>
      <c r="J61" s="76">
        <f>IF(AND(G61&gt;=$B$14,G61&lt;=$B$15,H61&lt;=Inputs!$B$38,I61&gt;=0,$D61=1),1,0)</f>
        <v>1</v>
      </c>
      <c r="K61" s="29">
        <f>Inputs!$B$11*COS((-$B61))-Inputs!$B$7*SIN((-$B61))</f>
        <v>79.86769188</v>
      </c>
      <c r="L61" s="29">
        <f>Inputs!$B$11*SIN((-$B61))+Inputs!$B$7*COS((-$B61))</f>
        <v>-206.9041634</v>
      </c>
      <c r="M61" s="29">
        <f>SQRT((K61-Inputs!$B$5)^2+(L61-Inputs!$B$6)^2)</f>
        <v>350.9062093</v>
      </c>
      <c r="N61" s="29">
        <f>MAX(MAX(Inputs!$B$5,(Inputs!$B$5+(K61-Inputs!$B$5)*MIN(1,$B$16/M61)))+$B$7/2,MAX((Inputs!$B$5+(K61-Inputs!$B$5)*MIN(1,$B$16/M61)),K61)+Inputs!$B$41)</f>
        <v>291.8</v>
      </c>
      <c r="O61" s="29">
        <f>MIN(IF(OR(Inputs!$C$68=0,((((Inputs!$C$68*COS((-$B61))+Inputs!$B$68*SIN((-$B61)))-Inputs!$B$5)*(K61-Inputs!$B$5)+((Inputs!$C$68*SIN((-$B61))-Inputs!$B$68*COS((-$B61)))-Inputs!$B$6)*(L61-Inputs!$B$6))/M61)&lt;0,((((Inputs!$C$68*COS((-$B61))+Inputs!$B$68*SIN((-$B61)))-Inputs!$B$5)*(K61-Inputs!$B$5)+((Inputs!$C$68*SIN((-$B61))-Inputs!$B$68*COS((-$B61)))-Inputs!$B$6)*(L61-Inputs!$B$6))/M61)&gt;M61-Inputs!$B$40),999,(ABS((K61-Inputs!$B$5)*((Inputs!$C$68*SIN((-$B61))-Inputs!$B$68*COS((-$B61)))-Inputs!$B$6)-(L61-Inputs!$B$6)*((Inputs!$C$68*COS((-$B61))+Inputs!$B$68*SIN((-$B61)))-Inputs!$B$5))/M61)-IF(((((Inputs!$C$68*COS((-$B61))+Inputs!$B$68*SIN((-$B61)))-Inputs!$B$5)*(K61-Inputs!$B$5)+((Inputs!$C$68*SIN((-$B61))-Inputs!$B$68*COS((-$B61)))-Inputs!$B$6)*(L61-Inputs!$B$6))/M61)&lt;$B$16,$B$7/2,$B$8/2)-Inputs!$B$39),IF(OR(Inputs!$C$69=0,((((Inputs!$C$69*COS((-$B61))+Inputs!$B$69*SIN((-$B61)))-Inputs!$B$5)*(K61-Inputs!$B$5)+((Inputs!$C$69*SIN((-$B61))-Inputs!$B$69*COS((-$B61)))-Inputs!$B$6)*(L61-Inputs!$B$6))/M61)&lt;0,((((Inputs!$C$69*COS((-$B61))+Inputs!$B$69*SIN((-$B61)))-Inputs!$B$5)*(K61-Inputs!$B$5)+((Inputs!$C$69*SIN((-$B61))-Inputs!$B$69*COS((-$B61)))-Inputs!$B$6)*(L61-Inputs!$B$6))/M61)&gt;M61-Inputs!$B$40),999,(ABS((K61-Inputs!$B$5)*((Inputs!$C$69*SIN((-$B61))-Inputs!$B$69*COS((-$B61)))-Inputs!$B$6)-(L61-Inputs!$B$6)*((Inputs!$C$69*COS((-$B61))+Inputs!$B$69*SIN((-$B61)))-Inputs!$B$5))/M61)-IF(((((Inputs!$C$69*COS((-$B61))+Inputs!$B$69*SIN((-$B61)))-Inputs!$B$5)*(K61-Inputs!$B$5)+((Inputs!$C$69*SIN((-$B61))-Inputs!$B$69*COS((-$B61)))-Inputs!$B$6)*(L61-Inputs!$B$6))/M61)&lt;$B$16,$B$7/2,$B$8/2)-Inputs!$B$39),IF(OR(Inputs!$C$70=0,((((Inputs!$C$70*COS((-$B61))+Inputs!$B$70*SIN((-$B61)))-Inputs!$B$5)*(K61-Inputs!$B$5)+((Inputs!$C$70*SIN((-$B61))-Inputs!$B$70*COS((-$B61)))-Inputs!$B$6)*(L61-Inputs!$B$6))/M61)&lt;0,((((Inputs!$C$70*COS((-$B61))+Inputs!$B$70*SIN((-$B61)))-Inputs!$B$5)*(K61-Inputs!$B$5)+((Inputs!$C$70*SIN((-$B61))-Inputs!$B$70*COS((-$B61)))-Inputs!$B$6)*(L61-Inputs!$B$6))/M61)&gt;M61-Inputs!$B$40),999,(ABS((K61-Inputs!$B$5)*((Inputs!$C$70*SIN((-$B61))-Inputs!$B$70*COS((-$B61)))-Inputs!$B$6)-(L61-Inputs!$B$6)*((Inputs!$C$70*COS((-$B61))+Inputs!$B$70*SIN((-$B61)))-Inputs!$B$5))/M61)-IF(((((Inputs!$C$70*COS((-$B61))+Inputs!$B$70*SIN((-$B61)))-Inputs!$B$5)*(K61-Inputs!$B$5)+((Inputs!$C$70*SIN((-$B61))-Inputs!$B$70*COS((-$B61)))-Inputs!$B$6)*(L61-Inputs!$B$6))/M61)&lt;$B$16,$B$7/2,$B$8/2)-Inputs!$B$39),IF(OR(Inputs!$C$71=0,((((Inputs!$C$71*COS((-$B61))+Inputs!$B$71*SIN((-$B61)))-Inputs!$B$5)*(K61-Inputs!$B$5)+((Inputs!$C$71*SIN((-$B61))-Inputs!$B$71*COS((-$B61)))-Inputs!$B$6)*(L61-Inputs!$B$6))/M61)&lt;0,((((Inputs!$C$71*COS((-$B61))+Inputs!$B$71*SIN((-$B61)))-Inputs!$B$5)*(K61-Inputs!$B$5)+((Inputs!$C$71*SIN((-$B61))-Inputs!$B$71*COS((-$B61)))-Inputs!$B$6)*(L61-Inputs!$B$6))/M61)&gt;M61-Inputs!$B$40),999,(ABS((K61-Inputs!$B$5)*((Inputs!$C$71*SIN((-$B61))-Inputs!$B$71*COS((-$B61)))-Inputs!$B$6)-(L61-Inputs!$B$6)*((Inputs!$C$71*COS((-$B61))+Inputs!$B$71*SIN((-$B61)))-Inputs!$B$5))/M61)-IF(((((Inputs!$C$71*COS((-$B61))+Inputs!$B$71*SIN((-$B61)))-Inputs!$B$5)*(K61-Inputs!$B$5)+((Inputs!$C$71*SIN((-$B61))-Inputs!$B$71*COS((-$B61)))-Inputs!$B$6)*(L61-Inputs!$B$6))/M61)&lt;$B$16,$B$7/2,$B$8/2)-Inputs!$B$39),IF(OR(Inputs!$C$72=0,((((Inputs!$C$72*COS((-$B61))+Inputs!$B$72*SIN((-$B61)))-Inputs!$B$5)*(K61-Inputs!$B$5)+((Inputs!$C$72*SIN((-$B61))-Inputs!$B$72*COS((-$B61)))-Inputs!$B$6)*(L61-Inputs!$B$6))/M61)&lt;0,((((Inputs!$C$72*COS((-$B61))+Inputs!$B$72*SIN((-$B61)))-Inputs!$B$5)*(K61-Inputs!$B$5)+((Inputs!$C$72*SIN((-$B61))-Inputs!$B$72*COS((-$B61)))-Inputs!$B$6)*(L61-Inputs!$B$6))/M61)&gt;M61-Inputs!$B$40),999,(ABS((K61-Inputs!$B$5)*((Inputs!$C$72*SIN((-$B61))-Inputs!$B$72*COS((-$B61)))-Inputs!$B$6)-(L61-Inputs!$B$6)*((Inputs!$C$72*COS((-$B61))+Inputs!$B$72*SIN((-$B61)))-Inputs!$B$5))/M61)-IF(((((Inputs!$C$72*COS((-$B61))+Inputs!$B$72*SIN((-$B61)))-Inputs!$B$5)*(K61-Inputs!$B$5)+((Inputs!$C$72*SIN((-$B61))-Inputs!$B$72*COS((-$B61)))-Inputs!$B$6)*(L61-Inputs!$B$6))/M61)&lt;$B$16,$B$7/2,$B$8/2)-Inputs!$B$39))</f>
        <v>19.58973007</v>
      </c>
      <c r="P61" s="76">
        <f>IF(AND(M61&gt;=$B$14,M61&lt;=$B$15,N61&lt;=Inputs!$B$38,O61&gt;=0,$D61=1),1,0)</f>
        <v>1</v>
      </c>
      <c r="X61" s="15">
        <v>13.0</v>
      </c>
      <c r="Y61" s="22">
        <f t="shared" si="1"/>
        <v>291.8</v>
      </c>
      <c r="Z61" s="22">
        <f>Inputs!$B$38</f>
        <v>350</v>
      </c>
      <c r="AA61" s="22">
        <f t="shared" si="2"/>
        <v>41.07291607</v>
      </c>
      <c r="AB61" s="15">
        <v>0.0</v>
      </c>
    </row>
    <row r="62" ht="15.75" customHeight="1">
      <c r="A62" s="23">
        <v>4.75</v>
      </c>
      <c r="B62" s="40">
        <f t="shared" si="4"/>
        <v>0.08290313947</v>
      </c>
      <c r="C62" s="29">
        <f>MAX(Inputs!$C$68*COS($B62)+Inputs!$B$68*ABS(SIN($B62)),Inputs!$C$69*COS($B62)+Inputs!$B$69*ABS(SIN($B62)),Inputs!$C$70*COS($B62)+Inputs!$B$70*ABS(SIN($B62)),Inputs!$C$71*COS($B62)+Inputs!$B$71*ABS(SIN($B62)),Inputs!$C$72*COS($B62)+Inputs!$B$72*ABS(SIN($B62)))</f>
        <v>111.7424853</v>
      </c>
      <c r="D62" s="71">
        <f>IF(C62&lt;=Inputs!$B$38,1,0)</f>
        <v>1</v>
      </c>
      <c r="E62" s="29">
        <f>Inputs!$B$11*COS(($B62))-Inputs!$B$7*SIN(($B62))</f>
        <v>112.0874277</v>
      </c>
      <c r="F62" s="29">
        <f>Inputs!$B$11*SIN(($B62))+Inputs!$B$7*COS(($B62))</f>
        <v>-191.3755198</v>
      </c>
      <c r="G62" s="29">
        <f>SQRT((E62-Inputs!$B$5)^2+(F62-Inputs!$B$6)^2)</f>
        <v>322.3655861</v>
      </c>
      <c r="H62" s="29">
        <f>MAX(MAX(Inputs!$B$5,(Inputs!$B$5+(E62-Inputs!$B$5)*MIN(1,$B$16/G62)))+$B$7/2,MAX((Inputs!$B$5+(E62-Inputs!$B$5)*MIN(1,$B$16/G62)),E62)+Inputs!$B$41)</f>
        <v>291.8</v>
      </c>
      <c r="I62" s="29">
        <f>MIN(IF(OR(Inputs!$C$68=0,((((Inputs!$C$68*COS(($B62))+Inputs!$B$68*SIN(($B62)))-Inputs!$B$5)*(E62-Inputs!$B$5)+((Inputs!$C$68*SIN(($B62))-Inputs!$B$68*COS(($B62)))-Inputs!$B$6)*(F62-Inputs!$B$6))/G62)&lt;0,((((Inputs!$C$68*COS(($B62))+Inputs!$B$68*SIN(($B62)))-Inputs!$B$5)*(E62-Inputs!$B$5)+((Inputs!$C$68*SIN(($B62))-Inputs!$B$68*COS(($B62)))-Inputs!$B$6)*(F62-Inputs!$B$6))/G62)&gt;G62-Inputs!$B$40),999,(ABS((E62-Inputs!$B$5)*((Inputs!$C$68*SIN(($B62))-Inputs!$B$68*COS(($B62)))-Inputs!$B$6)-(F62-Inputs!$B$6)*((Inputs!$C$68*COS(($B62))+Inputs!$B$68*SIN(($B62)))-Inputs!$B$5))/G62)-IF(((((Inputs!$C$68*COS(($B62))+Inputs!$B$68*SIN(($B62)))-Inputs!$B$5)*(E62-Inputs!$B$5)+((Inputs!$C$68*SIN(($B62))-Inputs!$B$68*COS(($B62)))-Inputs!$B$6)*(F62-Inputs!$B$6))/G62)&lt;$B$16,$B$7/2,$B$8/2)-Inputs!$B$39),IF(OR(Inputs!$C$69=0,((((Inputs!$C$69*COS(($B62))+Inputs!$B$69*SIN(($B62)))-Inputs!$B$5)*(E62-Inputs!$B$5)+((Inputs!$C$69*SIN(($B62))-Inputs!$B$69*COS(($B62)))-Inputs!$B$6)*(F62-Inputs!$B$6))/G62)&lt;0,((((Inputs!$C$69*COS(($B62))+Inputs!$B$69*SIN(($B62)))-Inputs!$B$5)*(E62-Inputs!$B$5)+((Inputs!$C$69*SIN(($B62))-Inputs!$B$69*COS(($B62)))-Inputs!$B$6)*(F62-Inputs!$B$6))/G62)&gt;G62-Inputs!$B$40),999,(ABS((E62-Inputs!$B$5)*((Inputs!$C$69*SIN(($B62))-Inputs!$B$69*COS(($B62)))-Inputs!$B$6)-(F62-Inputs!$B$6)*((Inputs!$C$69*COS(($B62))+Inputs!$B$69*SIN(($B62)))-Inputs!$B$5))/G62)-IF(((((Inputs!$C$69*COS(($B62))+Inputs!$B$69*SIN(($B62)))-Inputs!$B$5)*(E62-Inputs!$B$5)+((Inputs!$C$69*SIN(($B62))-Inputs!$B$69*COS(($B62)))-Inputs!$B$6)*(F62-Inputs!$B$6))/G62)&lt;$B$16,$B$7/2,$B$8/2)-Inputs!$B$39),IF(OR(Inputs!$C$70=0,((((Inputs!$C$70*COS(($B62))+Inputs!$B$70*SIN(($B62)))-Inputs!$B$5)*(E62-Inputs!$B$5)+((Inputs!$C$70*SIN(($B62))-Inputs!$B$70*COS(($B62)))-Inputs!$B$6)*(F62-Inputs!$B$6))/G62)&lt;0,((((Inputs!$C$70*COS(($B62))+Inputs!$B$70*SIN(($B62)))-Inputs!$B$5)*(E62-Inputs!$B$5)+((Inputs!$C$70*SIN(($B62))-Inputs!$B$70*COS(($B62)))-Inputs!$B$6)*(F62-Inputs!$B$6))/G62)&gt;G62-Inputs!$B$40),999,(ABS((E62-Inputs!$B$5)*((Inputs!$C$70*SIN(($B62))-Inputs!$B$70*COS(($B62)))-Inputs!$B$6)-(F62-Inputs!$B$6)*((Inputs!$C$70*COS(($B62))+Inputs!$B$70*SIN(($B62)))-Inputs!$B$5))/G62)-IF(((((Inputs!$C$70*COS(($B62))+Inputs!$B$70*SIN(($B62)))-Inputs!$B$5)*(E62-Inputs!$B$5)+((Inputs!$C$70*SIN(($B62))-Inputs!$B$70*COS(($B62)))-Inputs!$B$6)*(F62-Inputs!$B$6))/G62)&lt;$B$16,$B$7/2,$B$8/2)-Inputs!$B$39),IF(OR(Inputs!$C$71=0,((((Inputs!$C$71*COS(($B62))+Inputs!$B$71*SIN(($B62)))-Inputs!$B$5)*(E62-Inputs!$B$5)+((Inputs!$C$71*SIN(($B62))-Inputs!$B$71*COS(($B62)))-Inputs!$B$6)*(F62-Inputs!$B$6))/G62)&lt;0,((((Inputs!$C$71*COS(($B62))+Inputs!$B$71*SIN(($B62)))-Inputs!$B$5)*(E62-Inputs!$B$5)+((Inputs!$C$71*SIN(($B62))-Inputs!$B$71*COS(($B62)))-Inputs!$B$6)*(F62-Inputs!$B$6))/G62)&gt;G62-Inputs!$B$40),999,(ABS((E62-Inputs!$B$5)*((Inputs!$C$71*SIN(($B62))-Inputs!$B$71*COS(($B62)))-Inputs!$B$6)-(F62-Inputs!$B$6)*((Inputs!$C$71*COS(($B62))+Inputs!$B$71*SIN(($B62)))-Inputs!$B$5))/G62)-IF(((((Inputs!$C$71*COS(($B62))+Inputs!$B$71*SIN(($B62)))-Inputs!$B$5)*(E62-Inputs!$B$5)+((Inputs!$C$71*SIN(($B62))-Inputs!$B$71*COS(($B62)))-Inputs!$B$6)*(F62-Inputs!$B$6))/G62)&lt;$B$16,$B$7/2,$B$8/2)-Inputs!$B$39),IF(OR(Inputs!$C$72=0,((((Inputs!$C$72*COS(($B62))+Inputs!$B$72*SIN(($B62)))-Inputs!$B$5)*(E62-Inputs!$B$5)+((Inputs!$C$72*SIN(($B62))-Inputs!$B$72*COS(($B62)))-Inputs!$B$6)*(F62-Inputs!$B$6))/G62)&lt;0,((((Inputs!$C$72*COS(($B62))+Inputs!$B$72*SIN(($B62)))-Inputs!$B$5)*(E62-Inputs!$B$5)+((Inputs!$C$72*SIN(($B62))-Inputs!$B$72*COS(($B62)))-Inputs!$B$6)*(F62-Inputs!$B$6))/G62)&gt;G62-Inputs!$B$40),999,(ABS((E62-Inputs!$B$5)*((Inputs!$C$72*SIN(($B62))-Inputs!$B$72*COS(($B62)))-Inputs!$B$6)-(F62-Inputs!$B$6)*((Inputs!$C$72*COS(($B62))+Inputs!$B$72*SIN(($B62)))-Inputs!$B$5))/G62)-IF(((((Inputs!$C$72*COS(($B62))+Inputs!$B$72*SIN(($B62)))-Inputs!$B$5)*(E62-Inputs!$B$5)+((Inputs!$C$72*SIN(($B62))-Inputs!$B$72*COS(($B62)))-Inputs!$B$6)*(F62-Inputs!$B$6))/G62)&lt;$B$16,$B$7/2,$B$8/2)-Inputs!$B$39))</f>
        <v>31.38535317</v>
      </c>
      <c r="J62" s="76">
        <f>IF(AND(G62&gt;=$B$14,G62&lt;=$B$15,H62&lt;=Inputs!$B$38,I62&gt;=0,$D62=1),1,0)</f>
        <v>1</v>
      </c>
      <c r="K62" s="29">
        <f>Inputs!$B$11*COS((-$B62))-Inputs!$B$7*SIN((-$B62))</f>
        <v>78.96414474</v>
      </c>
      <c r="L62" s="29">
        <f>Inputs!$B$11*SIN((-$B62))+Inputs!$B$7*COS((-$B62))</f>
        <v>-207.2506812</v>
      </c>
      <c r="M62" s="29">
        <f>SQRT((K62-Inputs!$B$5)^2+(L62-Inputs!$B$6)^2)</f>
        <v>351.647899</v>
      </c>
      <c r="N62" s="29">
        <f>MAX(MAX(Inputs!$B$5,(Inputs!$B$5+(K62-Inputs!$B$5)*MIN(1,$B$16/M62)))+$B$7/2,MAX((Inputs!$B$5+(K62-Inputs!$B$5)*MIN(1,$B$16/M62)),K62)+Inputs!$B$41)</f>
        <v>291.8</v>
      </c>
      <c r="O62" s="29">
        <f>MIN(IF(OR(Inputs!$C$68=0,((((Inputs!$C$68*COS((-$B62))+Inputs!$B$68*SIN((-$B62)))-Inputs!$B$5)*(K62-Inputs!$B$5)+((Inputs!$C$68*SIN((-$B62))-Inputs!$B$68*COS((-$B62)))-Inputs!$B$6)*(L62-Inputs!$B$6))/M62)&lt;0,((((Inputs!$C$68*COS((-$B62))+Inputs!$B$68*SIN((-$B62)))-Inputs!$B$5)*(K62-Inputs!$B$5)+((Inputs!$C$68*SIN((-$B62))-Inputs!$B$68*COS((-$B62)))-Inputs!$B$6)*(L62-Inputs!$B$6))/M62)&gt;M62-Inputs!$B$40),999,(ABS((K62-Inputs!$B$5)*((Inputs!$C$68*SIN((-$B62))-Inputs!$B$68*COS((-$B62)))-Inputs!$B$6)-(L62-Inputs!$B$6)*((Inputs!$C$68*COS((-$B62))+Inputs!$B$68*SIN((-$B62)))-Inputs!$B$5))/M62)-IF(((((Inputs!$C$68*COS((-$B62))+Inputs!$B$68*SIN((-$B62)))-Inputs!$B$5)*(K62-Inputs!$B$5)+((Inputs!$C$68*SIN((-$B62))-Inputs!$B$68*COS((-$B62)))-Inputs!$B$6)*(L62-Inputs!$B$6))/M62)&lt;$B$16,$B$7/2,$B$8/2)-Inputs!$B$39),IF(OR(Inputs!$C$69=0,((((Inputs!$C$69*COS((-$B62))+Inputs!$B$69*SIN((-$B62)))-Inputs!$B$5)*(K62-Inputs!$B$5)+((Inputs!$C$69*SIN((-$B62))-Inputs!$B$69*COS((-$B62)))-Inputs!$B$6)*(L62-Inputs!$B$6))/M62)&lt;0,((((Inputs!$C$69*COS((-$B62))+Inputs!$B$69*SIN((-$B62)))-Inputs!$B$5)*(K62-Inputs!$B$5)+((Inputs!$C$69*SIN((-$B62))-Inputs!$B$69*COS((-$B62)))-Inputs!$B$6)*(L62-Inputs!$B$6))/M62)&gt;M62-Inputs!$B$40),999,(ABS((K62-Inputs!$B$5)*((Inputs!$C$69*SIN((-$B62))-Inputs!$B$69*COS((-$B62)))-Inputs!$B$6)-(L62-Inputs!$B$6)*((Inputs!$C$69*COS((-$B62))+Inputs!$B$69*SIN((-$B62)))-Inputs!$B$5))/M62)-IF(((((Inputs!$C$69*COS((-$B62))+Inputs!$B$69*SIN((-$B62)))-Inputs!$B$5)*(K62-Inputs!$B$5)+((Inputs!$C$69*SIN((-$B62))-Inputs!$B$69*COS((-$B62)))-Inputs!$B$6)*(L62-Inputs!$B$6))/M62)&lt;$B$16,$B$7/2,$B$8/2)-Inputs!$B$39),IF(OR(Inputs!$C$70=0,((((Inputs!$C$70*COS((-$B62))+Inputs!$B$70*SIN((-$B62)))-Inputs!$B$5)*(K62-Inputs!$B$5)+((Inputs!$C$70*SIN((-$B62))-Inputs!$B$70*COS((-$B62)))-Inputs!$B$6)*(L62-Inputs!$B$6))/M62)&lt;0,((((Inputs!$C$70*COS((-$B62))+Inputs!$B$70*SIN((-$B62)))-Inputs!$B$5)*(K62-Inputs!$B$5)+((Inputs!$C$70*SIN((-$B62))-Inputs!$B$70*COS((-$B62)))-Inputs!$B$6)*(L62-Inputs!$B$6))/M62)&gt;M62-Inputs!$B$40),999,(ABS((K62-Inputs!$B$5)*((Inputs!$C$70*SIN((-$B62))-Inputs!$B$70*COS((-$B62)))-Inputs!$B$6)-(L62-Inputs!$B$6)*((Inputs!$C$70*COS((-$B62))+Inputs!$B$70*SIN((-$B62)))-Inputs!$B$5))/M62)-IF(((((Inputs!$C$70*COS((-$B62))+Inputs!$B$70*SIN((-$B62)))-Inputs!$B$5)*(K62-Inputs!$B$5)+((Inputs!$C$70*SIN((-$B62))-Inputs!$B$70*COS((-$B62)))-Inputs!$B$6)*(L62-Inputs!$B$6))/M62)&lt;$B$16,$B$7/2,$B$8/2)-Inputs!$B$39),IF(OR(Inputs!$C$71=0,((((Inputs!$C$71*COS((-$B62))+Inputs!$B$71*SIN((-$B62)))-Inputs!$B$5)*(K62-Inputs!$B$5)+((Inputs!$C$71*SIN((-$B62))-Inputs!$B$71*COS((-$B62)))-Inputs!$B$6)*(L62-Inputs!$B$6))/M62)&lt;0,((((Inputs!$C$71*COS((-$B62))+Inputs!$B$71*SIN((-$B62)))-Inputs!$B$5)*(K62-Inputs!$B$5)+((Inputs!$C$71*SIN((-$B62))-Inputs!$B$71*COS((-$B62)))-Inputs!$B$6)*(L62-Inputs!$B$6))/M62)&gt;M62-Inputs!$B$40),999,(ABS((K62-Inputs!$B$5)*((Inputs!$C$71*SIN((-$B62))-Inputs!$B$71*COS((-$B62)))-Inputs!$B$6)-(L62-Inputs!$B$6)*((Inputs!$C$71*COS((-$B62))+Inputs!$B$71*SIN((-$B62)))-Inputs!$B$5))/M62)-IF(((((Inputs!$C$71*COS((-$B62))+Inputs!$B$71*SIN((-$B62)))-Inputs!$B$5)*(K62-Inputs!$B$5)+((Inputs!$C$71*SIN((-$B62))-Inputs!$B$71*COS((-$B62)))-Inputs!$B$6)*(L62-Inputs!$B$6))/M62)&lt;$B$16,$B$7/2,$B$8/2)-Inputs!$B$39),IF(OR(Inputs!$C$72=0,((((Inputs!$C$72*COS((-$B62))+Inputs!$B$72*SIN((-$B62)))-Inputs!$B$5)*(K62-Inputs!$B$5)+((Inputs!$C$72*SIN((-$B62))-Inputs!$B$72*COS((-$B62)))-Inputs!$B$6)*(L62-Inputs!$B$6))/M62)&lt;0,((((Inputs!$C$72*COS((-$B62))+Inputs!$B$72*SIN((-$B62)))-Inputs!$B$5)*(K62-Inputs!$B$5)+((Inputs!$C$72*SIN((-$B62))-Inputs!$B$72*COS((-$B62)))-Inputs!$B$6)*(L62-Inputs!$B$6))/M62)&gt;M62-Inputs!$B$40),999,(ABS((K62-Inputs!$B$5)*((Inputs!$C$72*SIN((-$B62))-Inputs!$B$72*COS((-$B62)))-Inputs!$B$6)-(L62-Inputs!$B$6)*((Inputs!$C$72*COS((-$B62))+Inputs!$B$72*SIN((-$B62)))-Inputs!$B$5))/M62)-IF(((((Inputs!$C$72*COS((-$B62))+Inputs!$B$72*SIN((-$B62)))-Inputs!$B$5)*(K62-Inputs!$B$5)+((Inputs!$C$72*SIN((-$B62))-Inputs!$B$72*COS((-$B62)))-Inputs!$B$6)*(L62-Inputs!$B$6))/M62)&lt;$B$16,$B$7/2,$B$8/2)-Inputs!$B$39))</f>
        <v>19.26656153</v>
      </c>
      <c r="P62" s="76">
        <f>IF(AND(M62&gt;=$B$14,M62&lt;=$B$15,N62&lt;=Inputs!$B$38,O62&gt;=0,$D62=1),1,0)</f>
        <v>1</v>
      </c>
      <c r="X62" s="15">
        <v>13.5</v>
      </c>
      <c r="Y62" s="22">
        <f t="shared" si="1"/>
        <v>291.8</v>
      </c>
      <c r="Z62" s="22">
        <f>Inputs!$B$38</f>
        <v>350</v>
      </c>
      <c r="AA62" s="22">
        <f t="shared" si="2"/>
        <v>41.44762617</v>
      </c>
      <c r="AB62" s="15">
        <v>0.0</v>
      </c>
    </row>
    <row r="63" ht="15.75" customHeight="1">
      <c r="A63" s="23">
        <v>5.0</v>
      </c>
      <c r="B63" s="40">
        <f t="shared" si="4"/>
        <v>0.0872664626</v>
      </c>
      <c r="C63" s="29">
        <f>MAX(Inputs!$C$68*COS($B63)+Inputs!$B$68*ABS(SIN($B63)),Inputs!$C$69*COS($B63)+Inputs!$B$69*ABS(SIN($B63)),Inputs!$C$70*COS($B63)+Inputs!$B$70*ABS(SIN($B63)),Inputs!$C$71*COS($B63)+Inputs!$B$71*ABS(SIN($B63)),Inputs!$C$72*COS($B63)+Inputs!$B$72*ABS(SIN($B63)))</f>
        <v>113.4464584</v>
      </c>
      <c r="D63" s="71">
        <f>IF(C63&lt;=Inputs!$B$38,1,0)</f>
        <v>1</v>
      </c>
      <c r="E63" s="29">
        <f>Inputs!$B$11*COS(($B63))-Inputs!$B$7*SIN(($B63))</f>
        <v>112.9213913</v>
      </c>
      <c r="F63" s="29">
        <f>Inputs!$B$11*SIN(($B63))+Inputs!$B$7*COS(($B63))</f>
        <v>-190.8846259</v>
      </c>
      <c r="G63" s="29">
        <f>SQRT((E63-Inputs!$B$5)^2+(F63-Inputs!$B$6)^2)</f>
        <v>321.5655618</v>
      </c>
      <c r="H63" s="29">
        <f>MAX(MAX(Inputs!$B$5,(Inputs!$B$5+(E63-Inputs!$B$5)*MIN(1,$B$16/G63)))+$B$7/2,MAX((Inputs!$B$5+(E63-Inputs!$B$5)*MIN(1,$B$16/G63)),E63)+Inputs!$B$41)</f>
        <v>291.8</v>
      </c>
      <c r="I63" s="29">
        <f>MIN(IF(OR(Inputs!$C$68=0,((((Inputs!$C$68*COS(($B63))+Inputs!$B$68*SIN(($B63)))-Inputs!$B$5)*(E63-Inputs!$B$5)+((Inputs!$C$68*SIN(($B63))-Inputs!$B$68*COS(($B63)))-Inputs!$B$6)*(F63-Inputs!$B$6))/G63)&lt;0,((((Inputs!$C$68*COS(($B63))+Inputs!$B$68*SIN(($B63)))-Inputs!$B$5)*(E63-Inputs!$B$5)+((Inputs!$C$68*SIN(($B63))-Inputs!$B$68*COS(($B63)))-Inputs!$B$6)*(F63-Inputs!$B$6))/G63)&gt;G63-Inputs!$B$40),999,(ABS((E63-Inputs!$B$5)*((Inputs!$C$68*SIN(($B63))-Inputs!$B$68*COS(($B63)))-Inputs!$B$6)-(F63-Inputs!$B$6)*((Inputs!$C$68*COS(($B63))+Inputs!$B$68*SIN(($B63)))-Inputs!$B$5))/G63)-IF(((((Inputs!$C$68*COS(($B63))+Inputs!$B$68*SIN(($B63)))-Inputs!$B$5)*(E63-Inputs!$B$5)+((Inputs!$C$68*SIN(($B63))-Inputs!$B$68*COS(($B63)))-Inputs!$B$6)*(F63-Inputs!$B$6))/G63)&lt;$B$16,$B$7/2,$B$8/2)-Inputs!$B$39),IF(OR(Inputs!$C$69=0,((((Inputs!$C$69*COS(($B63))+Inputs!$B$69*SIN(($B63)))-Inputs!$B$5)*(E63-Inputs!$B$5)+((Inputs!$C$69*SIN(($B63))-Inputs!$B$69*COS(($B63)))-Inputs!$B$6)*(F63-Inputs!$B$6))/G63)&lt;0,((((Inputs!$C$69*COS(($B63))+Inputs!$B$69*SIN(($B63)))-Inputs!$B$5)*(E63-Inputs!$B$5)+((Inputs!$C$69*SIN(($B63))-Inputs!$B$69*COS(($B63)))-Inputs!$B$6)*(F63-Inputs!$B$6))/G63)&gt;G63-Inputs!$B$40),999,(ABS((E63-Inputs!$B$5)*((Inputs!$C$69*SIN(($B63))-Inputs!$B$69*COS(($B63)))-Inputs!$B$6)-(F63-Inputs!$B$6)*((Inputs!$C$69*COS(($B63))+Inputs!$B$69*SIN(($B63)))-Inputs!$B$5))/G63)-IF(((((Inputs!$C$69*COS(($B63))+Inputs!$B$69*SIN(($B63)))-Inputs!$B$5)*(E63-Inputs!$B$5)+((Inputs!$C$69*SIN(($B63))-Inputs!$B$69*COS(($B63)))-Inputs!$B$6)*(F63-Inputs!$B$6))/G63)&lt;$B$16,$B$7/2,$B$8/2)-Inputs!$B$39),IF(OR(Inputs!$C$70=0,((((Inputs!$C$70*COS(($B63))+Inputs!$B$70*SIN(($B63)))-Inputs!$B$5)*(E63-Inputs!$B$5)+((Inputs!$C$70*SIN(($B63))-Inputs!$B$70*COS(($B63)))-Inputs!$B$6)*(F63-Inputs!$B$6))/G63)&lt;0,((((Inputs!$C$70*COS(($B63))+Inputs!$B$70*SIN(($B63)))-Inputs!$B$5)*(E63-Inputs!$B$5)+((Inputs!$C$70*SIN(($B63))-Inputs!$B$70*COS(($B63)))-Inputs!$B$6)*(F63-Inputs!$B$6))/G63)&gt;G63-Inputs!$B$40),999,(ABS((E63-Inputs!$B$5)*((Inputs!$C$70*SIN(($B63))-Inputs!$B$70*COS(($B63)))-Inputs!$B$6)-(F63-Inputs!$B$6)*((Inputs!$C$70*COS(($B63))+Inputs!$B$70*SIN(($B63)))-Inputs!$B$5))/G63)-IF(((((Inputs!$C$70*COS(($B63))+Inputs!$B$70*SIN(($B63)))-Inputs!$B$5)*(E63-Inputs!$B$5)+((Inputs!$C$70*SIN(($B63))-Inputs!$B$70*COS(($B63)))-Inputs!$B$6)*(F63-Inputs!$B$6))/G63)&lt;$B$16,$B$7/2,$B$8/2)-Inputs!$B$39),IF(OR(Inputs!$C$71=0,((((Inputs!$C$71*COS(($B63))+Inputs!$B$71*SIN(($B63)))-Inputs!$B$5)*(E63-Inputs!$B$5)+((Inputs!$C$71*SIN(($B63))-Inputs!$B$71*COS(($B63)))-Inputs!$B$6)*(F63-Inputs!$B$6))/G63)&lt;0,((((Inputs!$C$71*COS(($B63))+Inputs!$B$71*SIN(($B63)))-Inputs!$B$5)*(E63-Inputs!$B$5)+((Inputs!$C$71*SIN(($B63))-Inputs!$B$71*COS(($B63)))-Inputs!$B$6)*(F63-Inputs!$B$6))/G63)&gt;G63-Inputs!$B$40),999,(ABS((E63-Inputs!$B$5)*((Inputs!$C$71*SIN(($B63))-Inputs!$B$71*COS(($B63)))-Inputs!$B$6)-(F63-Inputs!$B$6)*((Inputs!$C$71*COS(($B63))+Inputs!$B$71*SIN(($B63)))-Inputs!$B$5))/G63)-IF(((((Inputs!$C$71*COS(($B63))+Inputs!$B$71*SIN(($B63)))-Inputs!$B$5)*(E63-Inputs!$B$5)+((Inputs!$C$71*SIN(($B63))-Inputs!$B$71*COS(($B63)))-Inputs!$B$6)*(F63-Inputs!$B$6))/G63)&lt;$B$16,$B$7/2,$B$8/2)-Inputs!$B$39),IF(OR(Inputs!$C$72=0,((((Inputs!$C$72*COS(($B63))+Inputs!$B$72*SIN(($B63)))-Inputs!$B$5)*(E63-Inputs!$B$5)+((Inputs!$C$72*SIN(($B63))-Inputs!$B$72*COS(($B63)))-Inputs!$B$6)*(F63-Inputs!$B$6))/G63)&lt;0,((((Inputs!$C$72*COS(($B63))+Inputs!$B$72*SIN(($B63)))-Inputs!$B$5)*(E63-Inputs!$B$5)+((Inputs!$C$72*SIN(($B63))-Inputs!$B$72*COS(($B63)))-Inputs!$B$6)*(F63-Inputs!$B$6))/G63)&gt;G63-Inputs!$B$40),999,(ABS((E63-Inputs!$B$5)*((Inputs!$C$72*SIN(($B63))-Inputs!$B$72*COS(($B63)))-Inputs!$B$6)-(F63-Inputs!$B$6)*((Inputs!$C$72*COS(($B63))+Inputs!$B$72*SIN(($B63)))-Inputs!$B$5))/G63)-IF(((((Inputs!$C$72*COS(($B63))+Inputs!$B$72*SIN(($B63)))-Inputs!$B$5)*(E63-Inputs!$B$5)+((Inputs!$C$72*SIN(($B63))-Inputs!$B$72*COS(($B63)))-Inputs!$B$6)*(F63-Inputs!$B$6))/G63)&lt;$B$16,$B$7/2,$B$8/2)-Inputs!$B$39))</f>
        <v>31.69950467</v>
      </c>
      <c r="J63" s="76">
        <f>IF(AND(G63&gt;=$B$14,G63&lt;=$B$15,H63&lt;=Inputs!$B$38,I63&gt;=0,$D63=1),1,0)</f>
        <v>1</v>
      </c>
      <c r="K63" s="29">
        <f>Inputs!$B$11*COS((-$B63))-Inputs!$B$7*SIN((-$B63))</f>
        <v>78.05909424</v>
      </c>
      <c r="L63" s="29">
        <f>Inputs!$B$11*SIN((-$B63))+Inputs!$B$7*COS((-$B63))</f>
        <v>-207.5932533</v>
      </c>
      <c r="M63" s="29">
        <f>SQRT((K63-Inputs!$B$5)^2+(L63-Inputs!$B$6)^2)</f>
        <v>352.3879745</v>
      </c>
      <c r="N63" s="29">
        <f>MAX(MAX(Inputs!$B$5,(Inputs!$B$5+(K63-Inputs!$B$5)*MIN(1,$B$16/M63)))+$B$7/2,MAX((Inputs!$B$5+(K63-Inputs!$B$5)*MIN(1,$B$16/M63)),K63)+Inputs!$B$41)</f>
        <v>291.8</v>
      </c>
      <c r="O63" s="29">
        <f>MIN(IF(OR(Inputs!$C$68=0,((((Inputs!$C$68*COS((-$B63))+Inputs!$B$68*SIN((-$B63)))-Inputs!$B$5)*(K63-Inputs!$B$5)+((Inputs!$C$68*SIN((-$B63))-Inputs!$B$68*COS((-$B63)))-Inputs!$B$6)*(L63-Inputs!$B$6))/M63)&lt;0,((((Inputs!$C$68*COS((-$B63))+Inputs!$B$68*SIN((-$B63)))-Inputs!$B$5)*(K63-Inputs!$B$5)+((Inputs!$C$68*SIN((-$B63))-Inputs!$B$68*COS((-$B63)))-Inputs!$B$6)*(L63-Inputs!$B$6))/M63)&gt;M63-Inputs!$B$40),999,(ABS((K63-Inputs!$B$5)*((Inputs!$C$68*SIN((-$B63))-Inputs!$B$68*COS((-$B63)))-Inputs!$B$6)-(L63-Inputs!$B$6)*((Inputs!$C$68*COS((-$B63))+Inputs!$B$68*SIN((-$B63)))-Inputs!$B$5))/M63)-IF(((((Inputs!$C$68*COS((-$B63))+Inputs!$B$68*SIN((-$B63)))-Inputs!$B$5)*(K63-Inputs!$B$5)+((Inputs!$C$68*SIN((-$B63))-Inputs!$B$68*COS((-$B63)))-Inputs!$B$6)*(L63-Inputs!$B$6))/M63)&lt;$B$16,$B$7/2,$B$8/2)-Inputs!$B$39),IF(OR(Inputs!$C$69=0,((((Inputs!$C$69*COS((-$B63))+Inputs!$B$69*SIN((-$B63)))-Inputs!$B$5)*(K63-Inputs!$B$5)+((Inputs!$C$69*SIN((-$B63))-Inputs!$B$69*COS((-$B63)))-Inputs!$B$6)*(L63-Inputs!$B$6))/M63)&lt;0,((((Inputs!$C$69*COS((-$B63))+Inputs!$B$69*SIN((-$B63)))-Inputs!$B$5)*(K63-Inputs!$B$5)+((Inputs!$C$69*SIN((-$B63))-Inputs!$B$69*COS((-$B63)))-Inputs!$B$6)*(L63-Inputs!$B$6))/M63)&gt;M63-Inputs!$B$40),999,(ABS((K63-Inputs!$B$5)*((Inputs!$C$69*SIN((-$B63))-Inputs!$B$69*COS((-$B63)))-Inputs!$B$6)-(L63-Inputs!$B$6)*((Inputs!$C$69*COS((-$B63))+Inputs!$B$69*SIN((-$B63)))-Inputs!$B$5))/M63)-IF(((((Inputs!$C$69*COS((-$B63))+Inputs!$B$69*SIN((-$B63)))-Inputs!$B$5)*(K63-Inputs!$B$5)+((Inputs!$C$69*SIN((-$B63))-Inputs!$B$69*COS((-$B63)))-Inputs!$B$6)*(L63-Inputs!$B$6))/M63)&lt;$B$16,$B$7/2,$B$8/2)-Inputs!$B$39),IF(OR(Inputs!$C$70=0,((((Inputs!$C$70*COS((-$B63))+Inputs!$B$70*SIN((-$B63)))-Inputs!$B$5)*(K63-Inputs!$B$5)+((Inputs!$C$70*SIN((-$B63))-Inputs!$B$70*COS((-$B63)))-Inputs!$B$6)*(L63-Inputs!$B$6))/M63)&lt;0,((((Inputs!$C$70*COS((-$B63))+Inputs!$B$70*SIN((-$B63)))-Inputs!$B$5)*(K63-Inputs!$B$5)+((Inputs!$C$70*SIN((-$B63))-Inputs!$B$70*COS((-$B63)))-Inputs!$B$6)*(L63-Inputs!$B$6))/M63)&gt;M63-Inputs!$B$40),999,(ABS((K63-Inputs!$B$5)*((Inputs!$C$70*SIN((-$B63))-Inputs!$B$70*COS((-$B63)))-Inputs!$B$6)-(L63-Inputs!$B$6)*((Inputs!$C$70*COS((-$B63))+Inputs!$B$70*SIN((-$B63)))-Inputs!$B$5))/M63)-IF(((((Inputs!$C$70*COS((-$B63))+Inputs!$B$70*SIN((-$B63)))-Inputs!$B$5)*(K63-Inputs!$B$5)+((Inputs!$C$70*SIN((-$B63))-Inputs!$B$70*COS((-$B63)))-Inputs!$B$6)*(L63-Inputs!$B$6))/M63)&lt;$B$16,$B$7/2,$B$8/2)-Inputs!$B$39),IF(OR(Inputs!$C$71=0,((((Inputs!$C$71*COS((-$B63))+Inputs!$B$71*SIN((-$B63)))-Inputs!$B$5)*(K63-Inputs!$B$5)+((Inputs!$C$71*SIN((-$B63))-Inputs!$B$71*COS((-$B63)))-Inputs!$B$6)*(L63-Inputs!$B$6))/M63)&lt;0,((((Inputs!$C$71*COS((-$B63))+Inputs!$B$71*SIN((-$B63)))-Inputs!$B$5)*(K63-Inputs!$B$5)+((Inputs!$C$71*SIN((-$B63))-Inputs!$B$71*COS((-$B63)))-Inputs!$B$6)*(L63-Inputs!$B$6))/M63)&gt;M63-Inputs!$B$40),999,(ABS((K63-Inputs!$B$5)*((Inputs!$C$71*SIN((-$B63))-Inputs!$B$71*COS((-$B63)))-Inputs!$B$6)-(L63-Inputs!$B$6)*((Inputs!$C$71*COS((-$B63))+Inputs!$B$71*SIN((-$B63)))-Inputs!$B$5))/M63)-IF(((((Inputs!$C$71*COS((-$B63))+Inputs!$B$71*SIN((-$B63)))-Inputs!$B$5)*(K63-Inputs!$B$5)+((Inputs!$C$71*SIN((-$B63))-Inputs!$B$71*COS((-$B63)))-Inputs!$B$6)*(L63-Inputs!$B$6))/M63)&lt;$B$16,$B$7/2,$B$8/2)-Inputs!$B$39),IF(OR(Inputs!$C$72=0,((((Inputs!$C$72*COS((-$B63))+Inputs!$B$72*SIN((-$B63)))-Inputs!$B$5)*(K63-Inputs!$B$5)+((Inputs!$C$72*SIN((-$B63))-Inputs!$B$72*COS((-$B63)))-Inputs!$B$6)*(L63-Inputs!$B$6))/M63)&lt;0,((((Inputs!$C$72*COS((-$B63))+Inputs!$B$72*SIN((-$B63)))-Inputs!$B$5)*(K63-Inputs!$B$5)+((Inputs!$C$72*SIN((-$B63))-Inputs!$B$72*COS((-$B63)))-Inputs!$B$6)*(L63-Inputs!$B$6))/M63)&gt;M63-Inputs!$B$40),999,(ABS((K63-Inputs!$B$5)*((Inputs!$C$72*SIN((-$B63))-Inputs!$B$72*COS((-$B63)))-Inputs!$B$6)-(L63-Inputs!$B$6)*((Inputs!$C$72*COS((-$B63))+Inputs!$B$72*SIN((-$B63)))-Inputs!$B$5))/M63)-IF(((((Inputs!$C$72*COS((-$B63))+Inputs!$B$72*SIN((-$B63)))-Inputs!$B$5)*(K63-Inputs!$B$5)+((Inputs!$C$72*SIN((-$B63))-Inputs!$B$72*COS((-$B63)))-Inputs!$B$6)*(L63-Inputs!$B$6))/M63)&lt;$B$16,$B$7/2,$B$8/2)-Inputs!$B$39))</f>
        <v>18.94317832</v>
      </c>
      <c r="P63" s="76">
        <f>IF(AND(M63&gt;=$B$14,M63&lt;=$B$15,N63&lt;=Inputs!$B$38,O63&gt;=0,$D63=1),1,0)</f>
        <v>1</v>
      </c>
      <c r="X63" s="15">
        <v>14.0</v>
      </c>
      <c r="Y63" s="22">
        <f t="shared" si="1"/>
        <v>291.8</v>
      </c>
      <c r="Z63" s="22">
        <f>Inputs!$B$38</f>
        <v>350</v>
      </c>
      <c r="AA63" s="22">
        <f t="shared" si="2"/>
        <v>41.8206049</v>
      </c>
      <c r="AB63" s="15">
        <v>0.0</v>
      </c>
    </row>
    <row r="64" ht="15.75" customHeight="1">
      <c r="A64" s="23">
        <v>5.25</v>
      </c>
      <c r="B64" s="40">
        <f t="shared" si="4"/>
        <v>0.09162978573</v>
      </c>
      <c r="C64" s="29">
        <f>MAX(Inputs!$C$68*COS($B64)+Inputs!$B$68*ABS(SIN($B64)),Inputs!$C$69*COS($B64)+Inputs!$B$69*ABS(SIN($B64)),Inputs!$C$70*COS($B64)+Inputs!$B$70*ABS(SIN($B64)),Inputs!$C$71*COS($B64)+Inputs!$B$71*ABS(SIN($B64)),Inputs!$C$72*COS($B64)+Inputs!$B$72*ABS(SIN($B64)))</f>
        <v>115.1482716</v>
      </c>
      <c r="D64" s="71">
        <f>IF(C64&lt;=Inputs!$B$38,1,0)</f>
        <v>1</v>
      </c>
      <c r="E64" s="29">
        <f>Inputs!$B$11*COS(($B64))-Inputs!$B$7*SIN(($B64))</f>
        <v>113.7532051</v>
      </c>
      <c r="F64" s="29">
        <f>Inputs!$B$11*SIN(($B64))+Inputs!$B$7*COS(($B64))</f>
        <v>-190.3900979</v>
      </c>
      <c r="G64" s="29">
        <f>SQRT((E64-Inputs!$B$5)^2+(F64-Inputs!$B$6)^2)</f>
        <v>320.7640847</v>
      </c>
      <c r="H64" s="29">
        <f>MAX(MAX(Inputs!$B$5,(Inputs!$B$5+(E64-Inputs!$B$5)*MIN(1,$B$16/G64)))+$B$7/2,MAX((Inputs!$B$5+(E64-Inputs!$B$5)*MIN(1,$B$16/G64)),E64)+Inputs!$B$41)</f>
        <v>291.8</v>
      </c>
      <c r="I64" s="29">
        <f>MIN(IF(OR(Inputs!$C$68=0,((((Inputs!$C$68*COS(($B64))+Inputs!$B$68*SIN(($B64)))-Inputs!$B$5)*(E64-Inputs!$B$5)+((Inputs!$C$68*SIN(($B64))-Inputs!$B$68*COS(($B64)))-Inputs!$B$6)*(F64-Inputs!$B$6))/G64)&lt;0,((((Inputs!$C$68*COS(($B64))+Inputs!$B$68*SIN(($B64)))-Inputs!$B$5)*(E64-Inputs!$B$5)+((Inputs!$C$68*SIN(($B64))-Inputs!$B$68*COS(($B64)))-Inputs!$B$6)*(F64-Inputs!$B$6))/G64)&gt;G64-Inputs!$B$40),999,(ABS((E64-Inputs!$B$5)*((Inputs!$C$68*SIN(($B64))-Inputs!$B$68*COS(($B64)))-Inputs!$B$6)-(F64-Inputs!$B$6)*((Inputs!$C$68*COS(($B64))+Inputs!$B$68*SIN(($B64)))-Inputs!$B$5))/G64)-IF(((((Inputs!$C$68*COS(($B64))+Inputs!$B$68*SIN(($B64)))-Inputs!$B$5)*(E64-Inputs!$B$5)+((Inputs!$C$68*SIN(($B64))-Inputs!$B$68*COS(($B64)))-Inputs!$B$6)*(F64-Inputs!$B$6))/G64)&lt;$B$16,$B$7/2,$B$8/2)-Inputs!$B$39),IF(OR(Inputs!$C$69=0,((((Inputs!$C$69*COS(($B64))+Inputs!$B$69*SIN(($B64)))-Inputs!$B$5)*(E64-Inputs!$B$5)+((Inputs!$C$69*SIN(($B64))-Inputs!$B$69*COS(($B64)))-Inputs!$B$6)*(F64-Inputs!$B$6))/G64)&lt;0,((((Inputs!$C$69*COS(($B64))+Inputs!$B$69*SIN(($B64)))-Inputs!$B$5)*(E64-Inputs!$B$5)+((Inputs!$C$69*SIN(($B64))-Inputs!$B$69*COS(($B64)))-Inputs!$B$6)*(F64-Inputs!$B$6))/G64)&gt;G64-Inputs!$B$40),999,(ABS((E64-Inputs!$B$5)*((Inputs!$C$69*SIN(($B64))-Inputs!$B$69*COS(($B64)))-Inputs!$B$6)-(F64-Inputs!$B$6)*((Inputs!$C$69*COS(($B64))+Inputs!$B$69*SIN(($B64)))-Inputs!$B$5))/G64)-IF(((((Inputs!$C$69*COS(($B64))+Inputs!$B$69*SIN(($B64)))-Inputs!$B$5)*(E64-Inputs!$B$5)+((Inputs!$C$69*SIN(($B64))-Inputs!$B$69*COS(($B64)))-Inputs!$B$6)*(F64-Inputs!$B$6))/G64)&lt;$B$16,$B$7/2,$B$8/2)-Inputs!$B$39),IF(OR(Inputs!$C$70=0,((((Inputs!$C$70*COS(($B64))+Inputs!$B$70*SIN(($B64)))-Inputs!$B$5)*(E64-Inputs!$B$5)+((Inputs!$C$70*SIN(($B64))-Inputs!$B$70*COS(($B64)))-Inputs!$B$6)*(F64-Inputs!$B$6))/G64)&lt;0,((((Inputs!$C$70*COS(($B64))+Inputs!$B$70*SIN(($B64)))-Inputs!$B$5)*(E64-Inputs!$B$5)+((Inputs!$C$70*SIN(($B64))-Inputs!$B$70*COS(($B64)))-Inputs!$B$6)*(F64-Inputs!$B$6))/G64)&gt;G64-Inputs!$B$40),999,(ABS((E64-Inputs!$B$5)*((Inputs!$C$70*SIN(($B64))-Inputs!$B$70*COS(($B64)))-Inputs!$B$6)-(F64-Inputs!$B$6)*((Inputs!$C$70*COS(($B64))+Inputs!$B$70*SIN(($B64)))-Inputs!$B$5))/G64)-IF(((((Inputs!$C$70*COS(($B64))+Inputs!$B$70*SIN(($B64)))-Inputs!$B$5)*(E64-Inputs!$B$5)+((Inputs!$C$70*SIN(($B64))-Inputs!$B$70*COS(($B64)))-Inputs!$B$6)*(F64-Inputs!$B$6))/G64)&lt;$B$16,$B$7/2,$B$8/2)-Inputs!$B$39),IF(OR(Inputs!$C$71=0,((((Inputs!$C$71*COS(($B64))+Inputs!$B$71*SIN(($B64)))-Inputs!$B$5)*(E64-Inputs!$B$5)+((Inputs!$C$71*SIN(($B64))-Inputs!$B$71*COS(($B64)))-Inputs!$B$6)*(F64-Inputs!$B$6))/G64)&lt;0,((((Inputs!$C$71*COS(($B64))+Inputs!$B$71*SIN(($B64)))-Inputs!$B$5)*(E64-Inputs!$B$5)+((Inputs!$C$71*SIN(($B64))-Inputs!$B$71*COS(($B64)))-Inputs!$B$6)*(F64-Inputs!$B$6))/G64)&gt;G64-Inputs!$B$40),999,(ABS((E64-Inputs!$B$5)*((Inputs!$C$71*SIN(($B64))-Inputs!$B$71*COS(($B64)))-Inputs!$B$6)-(F64-Inputs!$B$6)*((Inputs!$C$71*COS(($B64))+Inputs!$B$71*SIN(($B64)))-Inputs!$B$5))/G64)-IF(((((Inputs!$C$71*COS(($B64))+Inputs!$B$71*SIN(($B64)))-Inputs!$B$5)*(E64-Inputs!$B$5)+((Inputs!$C$71*SIN(($B64))-Inputs!$B$71*COS(($B64)))-Inputs!$B$6)*(F64-Inputs!$B$6))/G64)&lt;$B$16,$B$7/2,$B$8/2)-Inputs!$B$39),IF(OR(Inputs!$C$72=0,((((Inputs!$C$72*COS(($B64))+Inputs!$B$72*SIN(($B64)))-Inputs!$B$5)*(E64-Inputs!$B$5)+((Inputs!$C$72*SIN(($B64))-Inputs!$B$72*COS(($B64)))-Inputs!$B$6)*(F64-Inputs!$B$6))/G64)&lt;0,((((Inputs!$C$72*COS(($B64))+Inputs!$B$72*SIN(($B64)))-Inputs!$B$5)*(E64-Inputs!$B$5)+((Inputs!$C$72*SIN(($B64))-Inputs!$B$72*COS(($B64)))-Inputs!$B$6)*(F64-Inputs!$B$6))/G64)&gt;G64-Inputs!$B$40),999,(ABS((E64-Inputs!$B$5)*((Inputs!$C$72*SIN(($B64))-Inputs!$B$72*COS(($B64)))-Inputs!$B$6)-(F64-Inputs!$B$6)*((Inputs!$C$72*COS(($B64))+Inputs!$B$72*SIN(($B64)))-Inputs!$B$5))/G64)-IF(((((Inputs!$C$72*COS(($B64))+Inputs!$B$72*SIN(($B64)))-Inputs!$B$5)*(E64-Inputs!$B$5)+((Inputs!$C$72*SIN(($B64))-Inputs!$B$72*COS(($B64)))-Inputs!$B$6)*(F64-Inputs!$B$6))/G64)&lt;$B$16,$B$7/2,$B$8/2)-Inputs!$B$39))</f>
        <v>32.01339709</v>
      </c>
      <c r="J64" s="76">
        <f>IF(AND(G64&gt;=$B$14,G64&lt;=$B$15,H64&lt;=Inputs!$B$38,I64&gt;=0,$D64=1),1,0)</f>
        <v>1</v>
      </c>
      <c r="K64" s="29">
        <f>Inputs!$B$11*COS((-$B64))-Inputs!$B$7*SIN((-$B64))</f>
        <v>77.1525576</v>
      </c>
      <c r="L64" s="29">
        <f>Inputs!$B$11*SIN((-$B64))+Inputs!$B$7*COS((-$B64))</f>
        <v>-207.9318732</v>
      </c>
      <c r="M64" s="29">
        <f>SQRT((K64-Inputs!$B$5)^2+(L64-Inputs!$B$6)^2)</f>
        <v>353.1264318</v>
      </c>
      <c r="N64" s="29">
        <f>MAX(MAX(Inputs!$B$5,(Inputs!$B$5+(K64-Inputs!$B$5)*MIN(1,$B$16/M64)))+$B$7/2,MAX((Inputs!$B$5+(K64-Inputs!$B$5)*MIN(1,$B$16/M64)),K64)+Inputs!$B$41)</f>
        <v>291.8</v>
      </c>
      <c r="O64" s="29">
        <f>MIN(IF(OR(Inputs!$C$68=0,((((Inputs!$C$68*COS((-$B64))+Inputs!$B$68*SIN((-$B64)))-Inputs!$B$5)*(K64-Inputs!$B$5)+((Inputs!$C$68*SIN((-$B64))-Inputs!$B$68*COS((-$B64)))-Inputs!$B$6)*(L64-Inputs!$B$6))/M64)&lt;0,((((Inputs!$C$68*COS((-$B64))+Inputs!$B$68*SIN((-$B64)))-Inputs!$B$5)*(K64-Inputs!$B$5)+((Inputs!$C$68*SIN((-$B64))-Inputs!$B$68*COS((-$B64)))-Inputs!$B$6)*(L64-Inputs!$B$6))/M64)&gt;M64-Inputs!$B$40),999,(ABS((K64-Inputs!$B$5)*((Inputs!$C$68*SIN((-$B64))-Inputs!$B$68*COS((-$B64)))-Inputs!$B$6)-(L64-Inputs!$B$6)*((Inputs!$C$68*COS((-$B64))+Inputs!$B$68*SIN((-$B64)))-Inputs!$B$5))/M64)-IF(((((Inputs!$C$68*COS((-$B64))+Inputs!$B$68*SIN((-$B64)))-Inputs!$B$5)*(K64-Inputs!$B$5)+((Inputs!$C$68*SIN((-$B64))-Inputs!$B$68*COS((-$B64)))-Inputs!$B$6)*(L64-Inputs!$B$6))/M64)&lt;$B$16,$B$7/2,$B$8/2)-Inputs!$B$39),IF(OR(Inputs!$C$69=0,((((Inputs!$C$69*COS((-$B64))+Inputs!$B$69*SIN((-$B64)))-Inputs!$B$5)*(K64-Inputs!$B$5)+((Inputs!$C$69*SIN((-$B64))-Inputs!$B$69*COS((-$B64)))-Inputs!$B$6)*(L64-Inputs!$B$6))/M64)&lt;0,((((Inputs!$C$69*COS((-$B64))+Inputs!$B$69*SIN((-$B64)))-Inputs!$B$5)*(K64-Inputs!$B$5)+((Inputs!$C$69*SIN((-$B64))-Inputs!$B$69*COS((-$B64)))-Inputs!$B$6)*(L64-Inputs!$B$6))/M64)&gt;M64-Inputs!$B$40),999,(ABS((K64-Inputs!$B$5)*((Inputs!$C$69*SIN((-$B64))-Inputs!$B$69*COS((-$B64)))-Inputs!$B$6)-(L64-Inputs!$B$6)*((Inputs!$C$69*COS((-$B64))+Inputs!$B$69*SIN((-$B64)))-Inputs!$B$5))/M64)-IF(((((Inputs!$C$69*COS((-$B64))+Inputs!$B$69*SIN((-$B64)))-Inputs!$B$5)*(K64-Inputs!$B$5)+((Inputs!$C$69*SIN((-$B64))-Inputs!$B$69*COS((-$B64)))-Inputs!$B$6)*(L64-Inputs!$B$6))/M64)&lt;$B$16,$B$7/2,$B$8/2)-Inputs!$B$39),IF(OR(Inputs!$C$70=0,((((Inputs!$C$70*COS((-$B64))+Inputs!$B$70*SIN((-$B64)))-Inputs!$B$5)*(K64-Inputs!$B$5)+((Inputs!$C$70*SIN((-$B64))-Inputs!$B$70*COS((-$B64)))-Inputs!$B$6)*(L64-Inputs!$B$6))/M64)&lt;0,((((Inputs!$C$70*COS((-$B64))+Inputs!$B$70*SIN((-$B64)))-Inputs!$B$5)*(K64-Inputs!$B$5)+((Inputs!$C$70*SIN((-$B64))-Inputs!$B$70*COS((-$B64)))-Inputs!$B$6)*(L64-Inputs!$B$6))/M64)&gt;M64-Inputs!$B$40),999,(ABS((K64-Inputs!$B$5)*((Inputs!$C$70*SIN((-$B64))-Inputs!$B$70*COS((-$B64)))-Inputs!$B$6)-(L64-Inputs!$B$6)*((Inputs!$C$70*COS((-$B64))+Inputs!$B$70*SIN((-$B64)))-Inputs!$B$5))/M64)-IF(((((Inputs!$C$70*COS((-$B64))+Inputs!$B$70*SIN((-$B64)))-Inputs!$B$5)*(K64-Inputs!$B$5)+((Inputs!$C$70*SIN((-$B64))-Inputs!$B$70*COS((-$B64)))-Inputs!$B$6)*(L64-Inputs!$B$6))/M64)&lt;$B$16,$B$7/2,$B$8/2)-Inputs!$B$39),IF(OR(Inputs!$C$71=0,((((Inputs!$C$71*COS((-$B64))+Inputs!$B$71*SIN((-$B64)))-Inputs!$B$5)*(K64-Inputs!$B$5)+((Inputs!$C$71*SIN((-$B64))-Inputs!$B$71*COS((-$B64)))-Inputs!$B$6)*(L64-Inputs!$B$6))/M64)&lt;0,((((Inputs!$C$71*COS((-$B64))+Inputs!$B$71*SIN((-$B64)))-Inputs!$B$5)*(K64-Inputs!$B$5)+((Inputs!$C$71*SIN((-$B64))-Inputs!$B$71*COS((-$B64)))-Inputs!$B$6)*(L64-Inputs!$B$6))/M64)&gt;M64-Inputs!$B$40),999,(ABS((K64-Inputs!$B$5)*((Inputs!$C$71*SIN((-$B64))-Inputs!$B$71*COS((-$B64)))-Inputs!$B$6)-(L64-Inputs!$B$6)*((Inputs!$C$71*COS((-$B64))+Inputs!$B$71*SIN((-$B64)))-Inputs!$B$5))/M64)-IF(((((Inputs!$C$71*COS((-$B64))+Inputs!$B$71*SIN((-$B64)))-Inputs!$B$5)*(K64-Inputs!$B$5)+((Inputs!$C$71*SIN((-$B64))-Inputs!$B$71*COS((-$B64)))-Inputs!$B$6)*(L64-Inputs!$B$6))/M64)&lt;$B$16,$B$7/2,$B$8/2)-Inputs!$B$39),IF(OR(Inputs!$C$72=0,((((Inputs!$C$72*COS((-$B64))+Inputs!$B$72*SIN((-$B64)))-Inputs!$B$5)*(K64-Inputs!$B$5)+((Inputs!$C$72*SIN((-$B64))-Inputs!$B$72*COS((-$B64)))-Inputs!$B$6)*(L64-Inputs!$B$6))/M64)&lt;0,((((Inputs!$C$72*COS((-$B64))+Inputs!$B$72*SIN((-$B64)))-Inputs!$B$5)*(K64-Inputs!$B$5)+((Inputs!$C$72*SIN((-$B64))-Inputs!$B$72*COS((-$B64)))-Inputs!$B$6)*(L64-Inputs!$B$6))/M64)&gt;M64-Inputs!$B$40),999,(ABS((K64-Inputs!$B$5)*((Inputs!$C$72*SIN((-$B64))-Inputs!$B$72*COS((-$B64)))-Inputs!$B$6)-(L64-Inputs!$B$6)*((Inputs!$C$72*COS((-$B64))+Inputs!$B$72*SIN((-$B64)))-Inputs!$B$5))/M64)-IF(((((Inputs!$C$72*COS((-$B64))+Inputs!$B$72*SIN((-$B64)))-Inputs!$B$5)*(K64-Inputs!$B$5)+((Inputs!$C$72*SIN((-$B64))-Inputs!$B$72*COS((-$B64)))-Inputs!$B$6)*(L64-Inputs!$B$6))/M64)&lt;$B$16,$B$7/2,$B$8/2)-Inputs!$B$39))</f>
        <v>18.61958163</v>
      </c>
      <c r="P64" s="76">
        <f>IF(AND(M64&gt;=$B$14,M64&lt;=$B$15,N64&lt;=Inputs!$B$38,O64&gt;=0,$D64=1),1,0)</f>
        <v>1</v>
      </c>
      <c r="X64" s="15">
        <v>14.5</v>
      </c>
      <c r="Y64" s="22">
        <f t="shared" si="1"/>
        <v>291.8</v>
      </c>
      <c r="Z64" s="22">
        <f>Inputs!$B$38</f>
        <v>350</v>
      </c>
      <c r="AA64" s="22">
        <f t="shared" si="2"/>
        <v>42.19183986</v>
      </c>
      <c r="AB64" s="15">
        <v>0.0</v>
      </c>
    </row>
    <row r="65" ht="15.75" customHeight="1">
      <c r="A65" s="23">
        <v>5.5</v>
      </c>
      <c r="B65" s="40">
        <f t="shared" si="4"/>
        <v>0.09599310886</v>
      </c>
      <c r="C65" s="29">
        <f>MAX(Inputs!$C$68*COS($B65)+Inputs!$B$68*ABS(SIN($B65)),Inputs!$C$69*COS($B65)+Inputs!$B$69*ABS(SIN($B65)),Inputs!$C$70*COS($B65)+Inputs!$B$70*ABS(SIN($B65)),Inputs!$C$71*COS($B65)+Inputs!$B$71*ABS(SIN($B65)),Inputs!$C$72*COS($B65)+Inputs!$B$72*ABS(SIN($B65)))</f>
        <v>116.8478926</v>
      </c>
      <c r="D65" s="71">
        <f>IF(C65&lt;=Inputs!$B$38,1,0)</f>
        <v>1</v>
      </c>
      <c r="E65" s="29">
        <f>Inputs!$B$11*COS(($B65))-Inputs!$B$7*SIN(($B65))</f>
        <v>114.5828531</v>
      </c>
      <c r="F65" s="29">
        <f>Inputs!$B$11*SIN(($B65))+Inputs!$B$7*COS(($B65))</f>
        <v>-189.8919451</v>
      </c>
      <c r="G65" s="29">
        <f>SQRT((E65-Inputs!$B$5)^2+(F65-Inputs!$B$6)^2)</f>
        <v>319.9611593</v>
      </c>
      <c r="H65" s="29">
        <f>MAX(MAX(Inputs!$B$5,(Inputs!$B$5+(E65-Inputs!$B$5)*MIN(1,$B$16/G65)))+$B$7/2,MAX((Inputs!$B$5+(E65-Inputs!$B$5)*MIN(1,$B$16/G65)),E65)+Inputs!$B$41)</f>
        <v>291.8</v>
      </c>
      <c r="I65" s="29">
        <f>MIN(IF(OR(Inputs!$C$68=0,((((Inputs!$C$68*COS(($B65))+Inputs!$B$68*SIN(($B65)))-Inputs!$B$5)*(E65-Inputs!$B$5)+((Inputs!$C$68*SIN(($B65))-Inputs!$B$68*COS(($B65)))-Inputs!$B$6)*(F65-Inputs!$B$6))/G65)&lt;0,((((Inputs!$C$68*COS(($B65))+Inputs!$B$68*SIN(($B65)))-Inputs!$B$5)*(E65-Inputs!$B$5)+((Inputs!$C$68*SIN(($B65))-Inputs!$B$68*COS(($B65)))-Inputs!$B$6)*(F65-Inputs!$B$6))/G65)&gt;G65-Inputs!$B$40),999,(ABS((E65-Inputs!$B$5)*((Inputs!$C$68*SIN(($B65))-Inputs!$B$68*COS(($B65)))-Inputs!$B$6)-(F65-Inputs!$B$6)*((Inputs!$C$68*COS(($B65))+Inputs!$B$68*SIN(($B65)))-Inputs!$B$5))/G65)-IF(((((Inputs!$C$68*COS(($B65))+Inputs!$B$68*SIN(($B65)))-Inputs!$B$5)*(E65-Inputs!$B$5)+((Inputs!$C$68*SIN(($B65))-Inputs!$B$68*COS(($B65)))-Inputs!$B$6)*(F65-Inputs!$B$6))/G65)&lt;$B$16,$B$7/2,$B$8/2)-Inputs!$B$39),IF(OR(Inputs!$C$69=0,((((Inputs!$C$69*COS(($B65))+Inputs!$B$69*SIN(($B65)))-Inputs!$B$5)*(E65-Inputs!$B$5)+((Inputs!$C$69*SIN(($B65))-Inputs!$B$69*COS(($B65)))-Inputs!$B$6)*(F65-Inputs!$B$6))/G65)&lt;0,((((Inputs!$C$69*COS(($B65))+Inputs!$B$69*SIN(($B65)))-Inputs!$B$5)*(E65-Inputs!$B$5)+((Inputs!$C$69*SIN(($B65))-Inputs!$B$69*COS(($B65)))-Inputs!$B$6)*(F65-Inputs!$B$6))/G65)&gt;G65-Inputs!$B$40),999,(ABS((E65-Inputs!$B$5)*((Inputs!$C$69*SIN(($B65))-Inputs!$B$69*COS(($B65)))-Inputs!$B$6)-(F65-Inputs!$B$6)*((Inputs!$C$69*COS(($B65))+Inputs!$B$69*SIN(($B65)))-Inputs!$B$5))/G65)-IF(((((Inputs!$C$69*COS(($B65))+Inputs!$B$69*SIN(($B65)))-Inputs!$B$5)*(E65-Inputs!$B$5)+((Inputs!$C$69*SIN(($B65))-Inputs!$B$69*COS(($B65)))-Inputs!$B$6)*(F65-Inputs!$B$6))/G65)&lt;$B$16,$B$7/2,$B$8/2)-Inputs!$B$39),IF(OR(Inputs!$C$70=0,((((Inputs!$C$70*COS(($B65))+Inputs!$B$70*SIN(($B65)))-Inputs!$B$5)*(E65-Inputs!$B$5)+((Inputs!$C$70*SIN(($B65))-Inputs!$B$70*COS(($B65)))-Inputs!$B$6)*(F65-Inputs!$B$6))/G65)&lt;0,((((Inputs!$C$70*COS(($B65))+Inputs!$B$70*SIN(($B65)))-Inputs!$B$5)*(E65-Inputs!$B$5)+((Inputs!$C$70*SIN(($B65))-Inputs!$B$70*COS(($B65)))-Inputs!$B$6)*(F65-Inputs!$B$6))/G65)&gt;G65-Inputs!$B$40),999,(ABS((E65-Inputs!$B$5)*((Inputs!$C$70*SIN(($B65))-Inputs!$B$70*COS(($B65)))-Inputs!$B$6)-(F65-Inputs!$B$6)*((Inputs!$C$70*COS(($B65))+Inputs!$B$70*SIN(($B65)))-Inputs!$B$5))/G65)-IF(((((Inputs!$C$70*COS(($B65))+Inputs!$B$70*SIN(($B65)))-Inputs!$B$5)*(E65-Inputs!$B$5)+((Inputs!$C$70*SIN(($B65))-Inputs!$B$70*COS(($B65)))-Inputs!$B$6)*(F65-Inputs!$B$6))/G65)&lt;$B$16,$B$7/2,$B$8/2)-Inputs!$B$39),IF(OR(Inputs!$C$71=0,((((Inputs!$C$71*COS(($B65))+Inputs!$B$71*SIN(($B65)))-Inputs!$B$5)*(E65-Inputs!$B$5)+((Inputs!$C$71*SIN(($B65))-Inputs!$B$71*COS(($B65)))-Inputs!$B$6)*(F65-Inputs!$B$6))/G65)&lt;0,((((Inputs!$C$71*COS(($B65))+Inputs!$B$71*SIN(($B65)))-Inputs!$B$5)*(E65-Inputs!$B$5)+((Inputs!$C$71*SIN(($B65))-Inputs!$B$71*COS(($B65)))-Inputs!$B$6)*(F65-Inputs!$B$6))/G65)&gt;G65-Inputs!$B$40),999,(ABS((E65-Inputs!$B$5)*((Inputs!$C$71*SIN(($B65))-Inputs!$B$71*COS(($B65)))-Inputs!$B$6)-(F65-Inputs!$B$6)*((Inputs!$C$71*COS(($B65))+Inputs!$B$71*SIN(($B65)))-Inputs!$B$5))/G65)-IF(((((Inputs!$C$71*COS(($B65))+Inputs!$B$71*SIN(($B65)))-Inputs!$B$5)*(E65-Inputs!$B$5)+((Inputs!$C$71*SIN(($B65))-Inputs!$B$71*COS(($B65)))-Inputs!$B$6)*(F65-Inputs!$B$6))/G65)&lt;$B$16,$B$7/2,$B$8/2)-Inputs!$B$39),IF(OR(Inputs!$C$72=0,((((Inputs!$C$72*COS(($B65))+Inputs!$B$72*SIN(($B65)))-Inputs!$B$5)*(E65-Inputs!$B$5)+((Inputs!$C$72*SIN(($B65))-Inputs!$B$72*COS(($B65)))-Inputs!$B$6)*(F65-Inputs!$B$6))/G65)&lt;0,((((Inputs!$C$72*COS(($B65))+Inputs!$B$72*SIN(($B65)))-Inputs!$B$5)*(E65-Inputs!$B$5)+((Inputs!$C$72*SIN(($B65))-Inputs!$B$72*COS(($B65)))-Inputs!$B$6)*(F65-Inputs!$B$6))/G65)&gt;G65-Inputs!$B$40),999,(ABS((E65-Inputs!$B$5)*((Inputs!$C$72*SIN(($B65))-Inputs!$B$72*COS(($B65)))-Inputs!$B$6)-(F65-Inputs!$B$6)*((Inputs!$C$72*COS(($B65))+Inputs!$B$72*SIN(($B65)))-Inputs!$B$5))/G65)-IF(((((Inputs!$C$72*COS(($B65))+Inputs!$B$72*SIN(($B65)))-Inputs!$B$5)*(E65-Inputs!$B$5)+((Inputs!$C$72*SIN(($B65))-Inputs!$B$72*COS(($B65)))-Inputs!$B$6)*(F65-Inputs!$B$6))/G65)&lt;$B$16,$B$7/2,$B$8/2)-Inputs!$B$39))</f>
        <v>32.32702936</v>
      </c>
      <c r="J65" s="76">
        <f>IF(AND(G65&gt;=$B$14,G65&lt;=$B$15,H65&lt;=Inputs!$B$38,I65&gt;=0,$D65=1),1,0)</f>
        <v>1</v>
      </c>
      <c r="K65" s="29">
        <f>Inputs!$B$11*COS((-$B65))-Inputs!$B$7*SIN((-$B65))</f>
        <v>76.24455209</v>
      </c>
      <c r="L65" s="29">
        <f>Inputs!$B$11*SIN((-$B65))+Inputs!$B$7*COS((-$B65))</f>
        <v>-208.2665343</v>
      </c>
      <c r="M65" s="29">
        <f>SQRT((K65-Inputs!$B$5)^2+(L65-Inputs!$B$6)^2)</f>
        <v>353.8632671</v>
      </c>
      <c r="N65" s="29">
        <f>MAX(MAX(Inputs!$B$5,(Inputs!$B$5+(K65-Inputs!$B$5)*MIN(1,$B$16/M65)))+$B$7/2,MAX((Inputs!$B$5+(K65-Inputs!$B$5)*MIN(1,$B$16/M65)),K65)+Inputs!$B$41)</f>
        <v>291.8</v>
      </c>
      <c r="O65" s="29">
        <f>MIN(IF(OR(Inputs!$C$68=0,((((Inputs!$C$68*COS((-$B65))+Inputs!$B$68*SIN((-$B65)))-Inputs!$B$5)*(K65-Inputs!$B$5)+((Inputs!$C$68*SIN((-$B65))-Inputs!$B$68*COS((-$B65)))-Inputs!$B$6)*(L65-Inputs!$B$6))/M65)&lt;0,((((Inputs!$C$68*COS((-$B65))+Inputs!$B$68*SIN((-$B65)))-Inputs!$B$5)*(K65-Inputs!$B$5)+((Inputs!$C$68*SIN((-$B65))-Inputs!$B$68*COS((-$B65)))-Inputs!$B$6)*(L65-Inputs!$B$6))/M65)&gt;M65-Inputs!$B$40),999,(ABS((K65-Inputs!$B$5)*((Inputs!$C$68*SIN((-$B65))-Inputs!$B$68*COS((-$B65)))-Inputs!$B$6)-(L65-Inputs!$B$6)*((Inputs!$C$68*COS((-$B65))+Inputs!$B$68*SIN((-$B65)))-Inputs!$B$5))/M65)-IF(((((Inputs!$C$68*COS((-$B65))+Inputs!$B$68*SIN((-$B65)))-Inputs!$B$5)*(K65-Inputs!$B$5)+((Inputs!$C$68*SIN((-$B65))-Inputs!$B$68*COS((-$B65)))-Inputs!$B$6)*(L65-Inputs!$B$6))/M65)&lt;$B$16,$B$7/2,$B$8/2)-Inputs!$B$39),IF(OR(Inputs!$C$69=0,((((Inputs!$C$69*COS((-$B65))+Inputs!$B$69*SIN((-$B65)))-Inputs!$B$5)*(K65-Inputs!$B$5)+((Inputs!$C$69*SIN((-$B65))-Inputs!$B$69*COS((-$B65)))-Inputs!$B$6)*(L65-Inputs!$B$6))/M65)&lt;0,((((Inputs!$C$69*COS((-$B65))+Inputs!$B$69*SIN((-$B65)))-Inputs!$B$5)*(K65-Inputs!$B$5)+((Inputs!$C$69*SIN((-$B65))-Inputs!$B$69*COS((-$B65)))-Inputs!$B$6)*(L65-Inputs!$B$6))/M65)&gt;M65-Inputs!$B$40),999,(ABS((K65-Inputs!$B$5)*((Inputs!$C$69*SIN((-$B65))-Inputs!$B$69*COS((-$B65)))-Inputs!$B$6)-(L65-Inputs!$B$6)*((Inputs!$C$69*COS((-$B65))+Inputs!$B$69*SIN((-$B65)))-Inputs!$B$5))/M65)-IF(((((Inputs!$C$69*COS((-$B65))+Inputs!$B$69*SIN((-$B65)))-Inputs!$B$5)*(K65-Inputs!$B$5)+((Inputs!$C$69*SIN((-$B65))-Inputs!$B$69*COS((-$B65)))-Inputs!$B$6)*(L65-Inputs!$B$6))/M65)&lt;$B$16,$B$7/2,$B$8/2)-Inputs!$B$39),IF(OR(Inputs!$C$70=0,((((Inputs!$C$70*COS((-$B65))+Inputs!$B$70*SIN((-$B65)))-Inputs!$B$5)*(K65-Inputs!$B$5)+((Inputs!$C$70*SIN((-$B65))-Inputs!$B$70*COS((-$B65)))-Inputs!$B$6)*(L65-Inputs!$B$6))/M65)&lt;0,((((Inputs!$C$70*COS((-$B65))+Inputs!$B$70*SIN((-$B65)))-Inputs!$B$5)*(K65-Inputs!$B$5)+((Inputs!$C$70*SIN((-$B65))-Inputs!$B$70*COS((-$B65)))-Inputs!$B$6)*(L65-Inputs!$B$6))/M65)&gt;M65-Inputs!$B$40),999,(ABS((K65-Inputs!$B$5)*((Inputs!$C$70*SIN((-$B65))-Inputs!$B$70*COS((-$B65)))-Inputs!$B$6)-(L65-Inputs!$B$6)*((Inputs!$C$70*COS((-$B65))+Inputs!$B$70*SIN((-$B65)))-Inputs!$B$5))/M65)-IF(((((Inputs!$C$70*COS((-$B65))+Inputs!$B$70*SIN((-$B65)))-Inputs!$B$5)*(K65-Inputs!$B$5)+((Inputs!$C$70*SIN((-$B65))-Inputs!$B$70*COS((-$B65)))-Inputs!$B$6)*(L65-Inputs!$B$6))/M65)&lt;$B$16,$B$7/2,$B$8/2)-Inputs!$B$39),IF(OR(Inputs!$C$71=0,((((Inputs!$C$71*COS((-$B65))+Inputs!$B$71*SIN((-$B65)))-Inputs!$B$5)*(K65-Inputs!$B$5)+((Inputs!$C$71*SIN((-$B65))-Inputs!$B$71*COS((-$B65)))-Inputs!$B$6)*(L65-Inputs!$B$6))/M65)&lt;0,((((Inputs!$C$71*COS((-$B65))+Inputs!$B$71*SIN((-$B65)))-Inputs!$B$5)*(K65-Inputs!$B$5)+((Inputs!$C$71*SIN((-$B65))-Inputs!$B$71*COS((-$B65)))-Inputs!$B$6)*(L65-Inputs!$B$6))/M65)&gt;M65-Inputs!$B$40),999,(ABS((K65-Inputs!$B$5)*((Inputs!$C$71*SIN((-$B65))-Inputs!$B$71*COS((-$B65)))-Inputs!$B$6)-(L65-Inputs!$B$6)*((Inputs!$C$71*COS((-$B65))+Inputs!$B$71*SIN((-$B65)))-Inputs!$B$5))/M65)-IF(((((Inputs!$C$71*COS((-$B65))+Inputs!$B$71*SIN((-$B65)))-Inputs!$B$5)*(K65-Inputs!$B$5)+((Inputs!$C$71*SIN((-$B65))-Inputs!$B$71*COS((-$B65)))-Inputs!$B$6)*(L65-Inputs!$B$6))/M65)&lt;$B$16,$B$7/2,$B$8/2)-Inputs!$B$39),IF(OR(Inputs!$C$72=0,((((Inputs!$C$72*COS((-$B65))+Inputs!$B$72*SIN((-$B65)))-Inputs!$B$5)*(K65-Inputs!$B$5)+((Inputs!$C$72*SIN((-$B65))-Inputs!$B$72*COS((-$B65)))-Inputs!$B$6)*(L65-Inputs!$B$6))/M65)&lt;0,((((Inputs!$C$72*COS((-$B65))+Inputs!$B$72*SIN((-$B65)))-Inputs!$B$5)*(K65-Inputs!$B$5)+((Inputs!$C$72*SIN((-$B65))-Inputs!$B$72*COS((-$B65)))-Inputs!$B$6)*(L65-Inputs!$B$6))/M65)&gt;M65-Inputs!$B$40),999,(ABS((K65-Inputs!$B$5)*((Inputs!$C$72*SIN((-$B65))-Inputs!$B$72*COS((-$B65)))-Inputs!$B$6)-(L65-Inputs!$B$6)*((Inputs!$C$72*COS((-$B65))+Inputs!$B$72*SIN((-$B65)))-Inputs!$B$5))/M65)-IF(((((Inputs!$C$72*COS((-$B65))+Inputs!$B$72*SIN((-$B65)))-Inputs!$B$5)*(K65-Inputs!$B$5)+((Inputs!$C$72*SIN((-$B65))-Inputs!$B$72*COS((-$B65)))-Inputs!$B$6)*(L65-Inputs!$B$6))/M65)&lt;$B$16,$B$7/2,$B$8/2)-Inputs!$B$39))</f>
        <v>18.29577269</v>
      </c>
      <c r="P65" s="76">
        <f>IF(AND(M65&gt;=$B$14,M65&lt;=$B$15,N65&lt;=Inputs!$B$38,O65&gt;=0,$D65=1),1,0)</f>
        <v>1</v>
      </c>
      <c r="X65" s="15">
        <v>15.0</v>
      </c>
      <c r="Y65" s="22">
        <f t="shared" si="1"/>
        <v>291.8</v>
      </c>
      <c r="Z65" s="22">
        <f>Inputs!$B$38</f>
        <v>350</v>
      </c>
      <c r="AA65" s="22">
        <f t="shared" si="2"/>
        <v>42.56131846</v>
      </c>
      <c r="AB65" s="15">
        <v>0.0</v>
      </c>
    </row>
    <row r="66" ht="15.75" customHeight="1">
      <c r="A66" s="23">
        <v>5.75</v>
      </c>
      <c r="B66" s="40">
        <f t="shared" si="4"/>
        <v>0.100356432</v>
      </c>
      <c r="C66" s="29">
        <f>MAX(Inputs!$C$68*COS($B66)+Inputs!$B$68*ABS(SIN($B66)),Inputs!$C$69*COS($B66)+Inputs!$B$69*ABS(SIN($B66)),Inputs!$C$70*COS($B66)+Inputs!$B$70*ABS(SIN($B66)),Inputs!$C$71*COS($B66)+Inputs!$B$71*ABS(SIN($B66)),Inputs!$C$72*COS($B66)+Inputs!$B$72*ABS(SIN($B66)))</f>
        <v>118.545289</v>
      </c>
      <c r="D66" s="71">
        <f>IF(C66&lt;=Inputs!$B$38,1,0)</f>
        <v>1</v>
      </c>
      <c r="E66" s="29">
        <f>Inputs!$B$11*COS(($B66))-Inputs!$B$7*SIN(($B66))</f>
        <v>115.4103196</v>
      </c>
      <c r="F66" s="29">
        <f>Inputs!$B$11*SIN(($B66))+Inputs!$B$7*COS(($B66))</f>
        <v>-189.390177</v>
      </c>
      <c r="G66" s="29">
        <f>SQRT((E66-Inputs!$B$5)^2+(F66-Inputs!$B$6)^2)</f>
        <v>319.15679</v>
      </c>
      <c r="H66" s="29">
        <f>MAX(MAX(Inputs!$B$5,(Inputs!$B$5+(E66-Inputs!$B$5)*MIN(1,$B$16/G66)))+$B$7/2,MAX((Inputs!$B$5+(E66-Inputs!$B$5)*MIN(1,$B$16/G66)),E66)+Inputs!$B$41)</f>
        <v>291.8</v>
      </c>
      <c r="I66" s="29">
        <f>MIN(IF(OR(Inputs!$C$68=0,((((Inputs!$C$68*COS(($B66))+Inputs!$B$68*SIN(($B66)))-Inputs!$B$5)*(E66-Inputs!$B$5)+((Inputs!$C$68*SIN(($B66))-Inputs!$B$68*COS(($B66)))-Inputs!$B$6)*(F66-Inputs!$B$6))/G66)&lt;0,((((Inputs!$C$68*COS(($B66))+Inputs!$B$68*SIN(($B66)))-Inputs!$B$5)*(E66-Inputs!$B$5)+((Inputs!$C$68*SIN(($B66))-Inputs!$B$68*COS(($B66)))-Inputs!$B$6)*(F66-Inputs!$B$6))/G66)&gt;G66-Inputs!$B$40),999,(ABS((E66-Inputs!$B$5)*((Inputs!$C$68*SIN(($B66))-Inputs!$B$68*COS(($B66)))-Inputs!$B$6)-(F66-Inputs!$B$6)*((Inputs!$C$68*COS(($B66))+Inputs!$B$68*SIN(($B66)))-Inputs!$B$5))/G66)-IF(((((Inputs!$C$68*COS(($B66))+Inputs!$B$68*SIN(($B66)))-Inputs!$B$5)*(E66-Inputs!$B$5)+((Inputs!$C$68*SIN(($B66))-Inputs!$B$68*COS(($B66)))-Inputs!$B$6)*(F66-Inputs!$B$6))/G66)&lt;$B$16,$B$7/2,$B$8/2)-Inputs!$B$39),IF(OR(Inputs!$C$69=0,((((Inputs!$C$69*COS(($B66))+Inputs!$B$69*SIN(($B66)))-Inputs!$B$5)*(E66-Inputs!$B$5)+((Inputs!$C$69*SIN(($B66))-Inputs!$B$69*COS(($B66)))-Inputs!$B$6)*(F66-Inputs!$B$6))/G66)&lt;0,((((Inputs!$C$69*COS(($B66))+Inputs!$B$69*SIN(($B66)))-Inputs!$B$5)*(E66-Inputs!$B$5)+((Inputs!$C$69*SIN(($B66))-Inputs!$B$69*COS(($B66)))-Inputs!$B$6)*(F66-Inputs!$B$6))/G66)&gt;G66-Inputs!$B$40),999,(ABS((E66-Inputs!$B$5)*((Inputs!$C$69*SIN(($B66))-Inputs!$B$69*COS(($B66)))-Inputs!$B$6)-(F66-Inputs!$B$6)*((Inputs!$C$69*COS(($B66))+Inputs!$B$69*SIN(($B66)))-Inputs!$B$5))/G66)-IF(((((Inputs!$C$69*COS(($B66))+Inputs!$B$69*SIN(($B66)))-Inputs!$B$5)*(E66-Inputs!$B$5)+((Inputs!$C$69*SIN(($B66))-Inputs!$B$69*COS(($B66)))-Inputs!$B$6)*(F66-Inputs!$B$6))/G66)&lt;$B$16,$B$7/2,$B$8/2)-Inputs!$B$39),IF(OR(Inputs!$C$70=0,((((Inputs!$C$70*COS(($B66))+Inputs!$B$70*SIN(($B66)))-Inputs!$B$5)*(E66-Inputs!$B$5)+((Inputs!$C$70*SIN(($B66))-Inputs!$B$70*COS(($B66)))-Inputs!$B$6)*(F66-Inputs!$B$6))/G66)&lt;0,((((Inputs!$C$70*COS(($B66))+Inputs!$B$70*SIN(($B66)))-Inputs!$B$5)*(E66-Inputs!$B$5)+((Inputs!$C$70*SIN(($B66))-Inputs!$B$70*COS(($B66)))-Inputs!$B$6)*(F66-Inputs!$B$6))/G66)&gt;G66-Inputs!$B$40),999,(ABS((E66-Inputs!$B$5)*((Inputs!$C$70*SIN(($B66))-Inputs!$B$70*COS(($B66)))-Inputs!$B$6)-(F66-Inputs!$B$6)*((Inputs!$C$70*COS(($B66))+Inputs!$B$70*SIN(($B66)))-Inputs!$B$5))/G66)-IF(((((Inputs!$C$70*COS(($B66))+Inputs!$B$70*SIN(($B66)))-Inputs!$B$5)*(E66-Inputs!$B$5)+((Inputs!$C$70*SIN(($B66))-Inputs!$B$70*COS(($B66)))-Inputs!$B$6)*(F66-Inputs!$B$6))/G66)&lt;$B$16,$B$7/2,$B$8/2)-Inputs!$B$39),IF(OR(Inputs!$C$71=0,((((Inputs!$C$71*COS(($B66))+Inputs!$B$71*SIN(($B66)))-Inputs!$B$5)*(E66-Inputs!$B$5)+((Inputs!$C$71*SIN(($B66))-Inputs!$B$71*COS(($B66)))-Inputs!$B$6)*(F66-Inputs!$B$6))/G66)&lt;0,((((Inputs!$C$71*COS(($B66))+Inputs!$B$71*SIN(($B66)))-Inputs!$B$5)*(E66-Inputs!$B$5)+((Inputs!$C$71*SIN(($B66))-Inputs!$B$71*COS(($B66)))-Inputs!$B$6)*(F66-Inputs!$B$6))/G66)&gt;G66-Inputs!$B$40),999,(ABS((E66-Inputs!$B$5)*((Inputs!$C$71*SIN(($B66))-Inputs!$B$71*COS(($B66)))-Inputs!$B$6)-(F66-Inputs!$B$6)*((Inputs!$C$71*COS(($B66))+Inputs!$B$71*SIN(($B66)))-Inputs!$B$5))/G66)-IF(((((Inputs!$C$71*COS(($B66))+Inputs!$B$71*SIN(($B66)))-Inputs!$B$5)*(E66-Inputs!$B$5)+((Inputs!$C$71*SIN(($B66))-Inputs!$B$71*COS(($B66)))-Inputs!$B$6)*(F66-Inputs!$B$6))/G66)&lt;$B$16,$B$7/2,$B$8/2)-Inputs!$B$39),IF(OR(Inputs!$C$72=0,((((Inputs!$C$72*COS(($B66))+Inputs!$B$72*SIN(($B66)))-Inputs!$B$5)*(E66-Inputs!$B$5)+((Inputs!$C$72*SIN(($B66))-Inputs!$B$72*COS(($B66)))-Inputs!$B$6)*(F66-Inputs!$B$6))/G66)&lt;0,((((Inputs!$C$72*COS(($B66))+Inputs!$B$72*SIN(($B66)))-Inputs!$B$5)*(E66-Inputs!$B$5)+((Inputs!$C$72*SIN(($B66))-Inputs!$B$72*COS(($B66)))-Inputs!$B$6)*(F66-Inputs!$B$6))/G66)&gt;G66-Inputs!$B$40),999,(ABS((E66-Inputs!$B$5)*((Inputs!$C$72*SIN(($B66))-Inputs!$B$72*COS(($B66)))-Inputs!$B$6)-(F66-Inputs!$B$6)*((Inputs!$C$72*COS(($B66))+Inputs!$B$72*SIN(($B66)))-Inputs!$B$5))/G66)-IF(((((Inputs!$C$72*COS(($B66))+Inputs!$B$72*SIN(($B66)))-Inputs!$B$5)*(E66-Inputs!$B$5)+((Inputs!$C$72*SIN(($B66))-Inputs!$B$72*COS(($B66)))-Inputs!$B$6)*(F66-Inputs!$B$6))/G66)&lt;$B$16,$B$7/2,$B$8/2)-Inputs!$B$39))</f>
        <v>32.64040042</v>
      </c>
      <c r="J66" s="76">
        <f>IF(AND(G66&gt;=$B$14,G66&lt;=$B$15,H66&lt;=Inputs!$B$38,I66&gt;=0,$D66=1),1,0)</f>
        <v>1</v>
      </c>
      <c r="K66" s="29">
        <f>Inputs!$B$11*COS((-$B66))-Inputs!$B$7*SIN((-$B66))</f>
        <v>75.33509499</v>
      </c>
      <c r="L66" s="29">
        <f>Inputs!$B$11*SIN((-$B66))+Inputs!$B$7*COS((-$B66))</f>
        <v>-208.5972303</v>
      </c>
      <c r="M66" s="29">
        <f>SQRT((K66-Inputs!$B$5)^2+(L66-Inputs!$B$6)^2)</f>
        <v>354.5984766</v>
      </c>
      <c r="N66" s="29">
        <f>MAX(MAX(Inputs!$B$5,(Inputs!$B$5+(K66-Inputs!$B$5)*MIN(1,$B$16/M66)))+$B$7/2,MAX((Inputs!$B$5+(K66-Inputs!$B$5)*MIN(1,$B$16/M66)),K66)+Inputs!$B$41)</f>
        <v>291.8</v>
      </c>
      <c r="O66" s="29">
        <f>MIN(IF(OR(Inputs!$C$68=0,((((Inputs!$C$68*COS((-$B66))+Inputs!$B$68*SIN((-$B66)))-Inputs!$B$5)*(K66-Inputs!$B$5)+((Inputs!$C$68*SIN((-$B66))-Inputs!$B$68*COS((-$B66)))-Inputs!$B$6)*(L66-Inputs!$B$6))/M66)&lt;0,((((Inputs!$C$68*COS((-$B66))+Inputs!$B$68*SIN((-$B66)))-Inputs!$B$5)*(K66-Inputs!$B$5)+((Inputs!$C$68*SIN((-$B66))-Inputs!$B$68*COS((-$B66)))-Inputs!$B$6)*(L66-Inputs!$B$6))/M66)&gt;M66-Inputs!$B$40),999,(ABS((K66-Inputs!$B$5)*((Inputs!$C$68*SIN((-$B66))-Inputs!$B$68*COS((-$B66)))-Inputs!$B$6)-(L66-Inputs!$B$6)*((Inputs!$C$68*COS((-$B66))+Inputs!$B$68*SIN((-$B66)))-Inputs!$B$5))/M66)-IF(((((Inputs!$C$68*COS((-$B66))+Inputs!$B$68*SIN((-$B66)))-Inputs!$B$5)*(K66-Inputs!$B$5)+((Inputs!$C$68*SIN((-$B66))-Inputs!$B$68*COS((-$B66)))-Inputs!$B$6)*(L66-Inputs!$B$6))/M66)&lt;$B$16,$B$7/2,$B$8/2)-Inputs!$B$39),IF(OR(Inputs!$C$69=0,((((Inputs!$C$69*COS((-$B66))+Inputs!$B$69*SIN((-$B66)))-Inputs!$B$5)*(K66-Inputs!$B$5)+((Inputs!$C$69*SIN((-$B66))-Inputs!$B$69*COS((-$B66)))-Inputs!$B$6)*(L66-Inputs!$B$6))/M66)&lt;0,((((Inputs!$C$69*COS((-$B66))+Inputs!$B$69*SIN((-$B66)))-Inputs!$B$5)*(K66-Inputs!$B$5)+((Inputs!$C$69*SIN((-$B66))-Inputs!$B$69*COS((-$B66)))-Inputs!$B$6)*(L66-Inputs!$B$6))/M66)&gt;M66-Inputs!$B$40),999,(ABS((K66-Inputs!$B$5)*((Inputs!$C$69*SIN((-$B66))-Inputs!$B$69*COS((-$B66)))-Inputs!$B$6)-(L66-Inputs!$B$6)*((Inputs!$C$69*COS((-$B66))+Inputs!$B$69*SIN((-$B66)))-Inputs!$B$5))/M66)-IF(((((Inputs!$C$69*COS((-$B66))+Inputs!$B$69*SIN((-$B66)))-Inputs!$B$5)*(K66-Inputs!$B$5)+((Inputs!$C$69*SIN((-$B66))-Inputs!$B$69*COS((-$B66)))-Inputs!$B$6)*(L66-Inputs!$B$6))/M66)&lt;$B$16,$B$7/2,$B$8/2)-Inputs!$B$39),IF(OR(Inputs!$C$70=0,((((Inputs!$C$70*COS((-$B66))+Inputs!$B$70*SIN((-$B66)))-Inputs!$B$5)*(K66-Inputs!$B$5)+((Inputs!$C$70*SIN((-$B66))-Inputs!$B$70*COS((-$B66)))-Inputs!$B$6)*(L66-Inputs!$B$6))/M66)&lt;0,((((Inputs!$C$70*COS((-$B66))+Inputs!$B$70*SIN((-$B66)))-Inputs!$B$5)*(K66-Inputs!$B$5)+((Inputs!$C$70*SIN((-$B66))-Inputs!$B$70*COS((-$B66)))-Inputs!$B$6)*(L66-Inputs!$B$6))/M66)&gt;M66-Inputs!$B$40),999,(ABS((K66-Inputs!$B$5)*((Inputs!$C$70*SIN((-$B66))-Inputs!$B$70*COS((-$B66)))-Inputs!$B$6)-(L66-Inputs!$B$6)*((Inputs!$C$70*COS((-$B66))+Inputs!$B$70*SIN((-$B66)))-Inputs!$B$5))/M66)-IF(((((Inputs!$C$70*COS((-$B66))+Inputs!$B$70*SIN((-$B66)))-Inputs!$B$5)*(K66-Inputs!$B$5)+((Inputs!$C$70*SIN((-$B66))-Inputs!$B$70*COS((-$B66)))-Inputs!$B$6)*(L66-Inputs!$B$6))/M66)&lt;$B$16,$B$7/2,$B$8/2)-Inputs!$B$39),IF(OR(Inputs!$C$71=0,((((Inputs!$C$71*COS((-$B66))+Inputs!$B$71*SIN((-$B66)))-Inputs!$B$5)*(K66-Inputs!$B$5)+((Inputs!$C$71*SIN((-$B66))-Inputs!$B$71*COS((-$B66)))-Inputs!$B$6)*(L66-Inputs!$B$6))/M66)&lt;0,((((Inputs!$C$71*COS((-$B66))+Inputs!$B$71*SIN((-$B66)))-Inputs!$B$5)*(K66-Inputs!$B$5)+((Inputs!$C$71*SIN((-$B66))-Inputs!$B$71*COS((-$B66)))-Inputs!$B$6)*(L66-Inputs!$B$6))/M66)&gt;M66-Inputs!$B$40),999,(ABS((K66-Inputs!$B$5)*((Inputs!$C$71*SIN((-$B66))-Inputs!$B$71*COS((-$B66)))-Inputs!$B$6)-(L66-Inputs!$B$6)*((Inputs!$C$71*COS((-$B66))+Inputs!$B$71*SIN((-$B66)))-Inputs!$B$5))/M66)-IF(((((Inputs!$C$71*COS((-$B66))+Inputs!$B$71*SIN((-$B66)))-Inputs!$B$5)*(K66-Inputs!$B$5)+((Inputs!$C$71*SIN((-$B66))-Inputs!$B$71*COS((-$B66)))-Inputs!$B$6)*(L66-Inputs!$B$6))/M66)&lt;$B$16,$B$7/2,$B$8/2)-Inputs!$B$39),IF(OR(Inputs!$C$72=0,((((Inputs!$C$72*COS((-$B66))+Inputs!$B$72*SIN((-$B66)))-Inputs!$B$5)*(K66-Inputs!$B$5)+((Inputs!$C$72*SIN((-$B66))-Inputs!$B$72*COS((-$B66)))-Inputs!$B$6)*(L66-Inputs!$B$6))/M66)&lt;0,((((Inputs!$C$72*COS((-$B66))+Inputs!$B$72*SIN((-$B66)))-Inputs!$B$5)*(K66-Inputs!$B$5)+((Inputs!$C$72*SIN((-$B66))-Inputs!$B$72*COS((-$B66)))-Inputs!$B$6)*(L66-Inputs!$B$6))/M66)&gt;M66-Inputs!$B$40),999,(ABS((K66-Inputs!$B$5)*((Inputs!$C$72*SIN((-$B66))-Inputs!$B$72*COS((-$B66)))-Inputs!$B$6)-(L66-Inputs!$B$6)*((Inputs!$C$72*COS((-$B66))+Inputs!$B$72*SIN((-$B66)))-Inputs!$B$5))/M66)-IF(((((Inputs!$C$72*COS((-$B66))+Inputs!$B$72*SIN((-$B66)))-Inputs!$B$5)*(K66-Inputs!$B$5)+((Inputs!$C$72*SIN((-$B66))-Inputs!$B$72*COS((-$B66)))-Inputs!$B$6)*(L66-Inputs!$B$6))/M66)&lt;$B$16,$B$7/2,$B$8/2)-Inputs!$B$39))</f>
        <v>17.97175268</v>
      </c>
      <c r="P66" s="76">
        <f>IF(AND(M66&gt;=$B$14,M66&lt;=$B$15,N66&lt;=Inputs!$B$38,O66&gt;=0,$D66=1),1,0)</f>
        <v>1</v>
      </c>
    </row>
    <row r="67" ht="15.75" customHeight="1">
      <c r="A67" s="23">
        <v>6.0</v>
      </c>
      <c r="B67" s="40">
        <f t="shared" si="4"/>
        <v>0.1047197551</v>
      </c>
      <c r="C67" s="29">
        <f>MAX(Inputs!$C$68*COS($B67)+Inputs!$B$68*ABS(SIN($B67)),Inputs!$C$69*COS($B67)+Inputs!$B$69*ABS(SIN($B67)),Inputs!$C$70*COS($B67)+Inputs!$B$70*ABS(SIN($B67)),Inputs!$C$71*COS($B67)+Inputs!$B$71*ABS(SIN($B67)),Inputs!$C$72*COS($B67)+Inputs!$B$72*ABS(SIN($B67)))</f>
        <v>120.2404284</v>
      </c>
      <c r="D67" s="71">
        <f>IF(C67&lt;=Inputs!$B$38,1,0)</f>
        <v>1</v>
      </c>
      <c r="E67" s="29">
        <f>Inputs!$B$11*COS(($B67))-Inputs!$B$7*SIN(($B67))</f>
        <v>116.2355889</v>
      </c>
      <c r="F67" s="29">
        <f>Inputs!$B$11*SIN(($B67))+Inputs!$B$7*COS(($B67))</f>
        <v>-188.8848032</v>
      </c>
      <c r="G67" s="29">
        <f>SQRT((E67-Inputs!$B$5)^2+(F67-Inputs!$B$6)^2)</f>
        <v>318.3509812</v>
      </c>
      <c r="H67" s="29">
        <f>MAX(MAX(Inputs!$B$5,(Inputs!$B$5+(E67-Inputs!$B$5)*MIN(1,$B$16/G67)))+$B$7/2,MAX((Inputs!$B$5+(E67-Inputs!$B$5)*MIN(1,$B$16/G67)),E67)+Inputs!$B$41)</f>
        <v>291.8</v>
      </c>
      <c r="I67" s="29">
        <f>MIN(IF(OR(Inputs!$C$68=0,((((Inputs!$C$68*COS(($B67))+Inputs!$B$68*SIN(($B67)))-Inputs!$B$5)*(E67-Inputs!$B$5)+((Inputs!$C$68*SIN(($B67))-Inputs!$B$68*COS(($B67)))-Inputs!$B$6)*(F67-Inputs!$B$6))/G67)&lt;0,((((Inputs!$C$68*COS(($B67))+Inputs!$B$68*SIN(($B67)))-Inputs!$B$5)*(E67-Inputs!$B$5)+((Inputs!$C$68*SIN(($B67))-Inputs!$B$68*COS(($B67)))-Inputs!$B$6)*(F67-Inputs!$B$6))/G67)&gt;G67-Inputs!$B$40),999,(ABS((E67-Inputs!$B$5)*((Inputs!$C$68*SIN(($B67))-Inputs!$B$68*COS(($B67)))-Inputs!$B$6)-(F67-Inputs!$B$6)*((Inputs!$C$68*COS(($B67))+Inputs!$B$68*SIN(($B67)))-Inputs!$B$5))/G67)-IF(((((Inputs!$C$68*COS(($B67))+Inputs!$B$68*SIN(($B67)))-Inputs!$B$5)*(E67-Inputs!$B$5)+((Inputs!$C$68*SIN(($B67))-Inputs!$B$68*COS(($B67)))-Inputs!$B$6)*(F67-Inputs!$B$6))/G67)&lt;$B$16,$B$7/2,$B$8/2)-Inputs!$B$39),IF(OR(Inputs!$C$69=0,((((Inputs!$C$69*COS(($B67))+Inputs!$B$69*SIN(($B67)))-Inputs!$B$5)*(E67-Inputs!$B$5)+((Inputs!$C$69*SIN(($B67))-Inputs!$B$69*COS(($B67)))-Inputs!$B$6)*(F67-Inputs!$B$6))/G67)&lt;0,((((Inputs!$C$69*COS(($B67))+Inputs!$B$69*SIN(($B67)))-Inputs!$B$5)*(E67-Inputs!$B$5)+((Inputs!$C$69*SIN(($B67))-Inputs!$B$69*COS(($B67)))-Inputs!$B$6)*(F67-Inputs!$B$6))/G67)&gt;G67-Inputs!$B$40),999,(ABS((E67-Inputs!$B$5)*((Inputs!$C$69*SIN(($B67))-Inputs!$B$69*COS(($B67)))-Inputs!$B$6)-(F67-Inputs!$B$6)*((Inputs!$C$69*COS(($B67))+Inputs!$B$69*SIN(($B67)))-Inputs!$B$5))/G67)-IF(((((Inputs!$C$69*COS(($B67))+Inputs!$B$69*SIN(($B67)))-Inputs!$B$5)*(E67-Inputs!$B$5)+((Inputs!$C$69*SIN(($B67))-Inputs!$B$69*COS(($B67)))-Inputs!$B$6)*(F67-Inputs!$B$6))/G67)&lt;$B$16,$B$7/2,$B$8/2)-Inputs!$B$39),IF(OR(Inputs!$C$70=0,((((Inputs!$C$70*COS(($B67))+Inputs!$B$70*SIN(($B67)))-Inputs!$B$5)*(E67-Inputs!$B$5)+((Inputs!$C$70*SIN(($B67))-Inputs!$B$70*COS(($B67)))-Inputs!$B$6)*(F67-Inputs!$B$6))/G67)&lt;0,((((Inputs!$C$70*COS(($B67))+Inputs!$B$70*SIN(($B67)))-Inputs!$B$5)*(E67-Inputs!$B$5)+((Inputs!$C$70*SIN(($B67))-Inputs!$B$70*COS(($B67)))-Inputs!$B$6)*(F67-Inputs!$B$6))/G67)&gt;G67-Inputs!$B$40),999,(ABS((E67-Inputs!$B$5)*((Inputs!$C$70*SIN(($B67))-Inputs!$B$70*COS(($B67)))-Inputs!$B$6)-(F67-Inputs!$B$6)*((Inputs!$C$70*COS(($B67))+Inputs!$B$70*SIN(($B67)))-Inputs!$B$5))/G67)-IF(((((Inputs!$C$70*COS(($B67))+Inputs!$B$70*SIN(($B67)))-Inputs!$B$5)*(E67-Inputs!$B$5)+((Inputs!$C$70*SIN(($B67))-Inputs!$B$70*COS(($B67)))-Inputs!$B$6)*(F67-Inputs!$B$6))/G67)&lt;$B$16,$B$7/2,$B$8/2)-Inputs!$B$39),IF(OR(Inputs!$C$71=0,((((Inputs!$C$71*COS(($B67))+Inputs!$B$71*SIN(($B67)))-Inputs!$B$5)*(E67-Inputs!$B$5)+((Inputs!$C$71*SIN(($B67))-Inputs!$B$71*COS(($B67)))-Inputs!$B$6)*(F67-Inputs!$B$6))/G67)&lt;0,((((Inputs!$C$71*COS(($B67))+Inputs!$B$71*SIN(($B67)))-Inputs!$B$5)*(E67-Inputs!$B$5)+((Inputs!$C$71*SIN(($B67))-Inputs!$B$71*COS(($B67)))-Inputs!$B$6)*(F67-Inputs!$B$6))/G67)&gt;G67-Inputs!$B$40),999,(ABS((E67-Inputs!$B$5)*((Inputs!$C$71*SIN(($B67))-Inputs!$B$71*COS(($B67)))-Inputs!$B$6)-(F67-Inputs!$B$6)*((Inputs!$C$71*COS(($B67))+Inputs!$B$71*SIN(($B67)))-Inputs!$B$5))/G67)-IF(((((Inputs!$C$71*COS(($B67))+Inputs!$B$71*SIN(($B67)))-Inputs!$B$5)*(E67-Inputs!$B$5)+((Inputs!$C$71*SIN(($B67))-Inputs!$B$71*COS(($B67)))-Inputs!$B$6)*(F67-Inputs!$B$6))/G67)&lt;$B$16,$B$7/2,$B$8/2)-Inputs!$B$39),IF(OR(Inputs!$C$72=0,((((Inputs!$C$72*COS(($B67))+Inputs!$B$72*SIN(($B67)))-Inputs!$B$5)*(E67-Inputs!$B$5)+((Inputs!$C$72*SIN(($B67))-Inputs!$B$72*COS(($B67)))-Inputs!$B$6)*(F67-Inputs!$B$6))/G67)&lt;0,((((Inputs!$C$72*COS(($B67))+Inputs!$B$72*SIN(($B67)))-Inputs!$B$5)*(E67-Inputs!$B$5)+((Inputs!$C$72*SIN(($B67))-Inputs!$B$72*COS(($B67)))-Inputs!$B$6)*(F67-Inputs!$B$6))/G67)&gt;G67-Inputs!$B$40),999,(ABS((E67-Inputs!$B$5)*((Inputs!$C$72*SIN(($B67))-Inputs!$B$72*COS(($B67)))-Inputs!$B$6)-(F67-Inputs!$B$6)*((Inputs!$C$72*COS(($B67))+Inputs!$B$72*SIN(($B67)))-Inputs!$B$5))/G67)-IF(((((Inputs!$C$72*COS(($B67))+Inputs!$B$72*SIN(($B67)))-Inputs!$B$5)*(E67-Inputs!$B$5)+((Inputs!$C$72*SIN(($B67))-Inputs!$B$72*COS(($B67)))-Inputs!$B$6)*(F67-Inputs!$B$6))/G67)&lt;$B$16,$B$7/2,$B$8/2)-Inputs!$B$39))</f>
        <v>32.95350918</v>
      </c>
      <c r="J67" s="76">
        <f>IF(AND(G67&gt;=$B$14,G67&lt;=$B$15,H67&lt;=Inputs!$B$38,I67&gt;=0,$D67=1),1,0)</f>
        <v>1</v>
      </c>
      <c r="K67" s="29">
        <f>Inputs!$B$11*COS((-$B67))-Inputs!$B$7*SIN((-$B67))</f>
        <v>74.42420363</v>
      </c>
      <c r="L67" s="29">
        <f>Inputs!$B$11*SIN((-$B67))+Inputs!$B$7*COS((-$B67))</f>
        <v>-208.9239549</v>
      </c>
      <c r="M67" s="29">
        <f>SQRT((K67-Inputs!$B$5)^2+(L67-Inputs!$B$6)^2)</f>
        <v>355.3320562</v>
      </c>
      <c r="N67" s="29">
        <f>MAX(MAX(Inputs!$B$5,(Inputs!$B$5+(K67-Inputs!$B$5)*MIN(1,$B$16/M67)))+$B$7/2,MAX((Inputs!$B$5+(K67-Inputs!$B$5)*MIN(1,$B$16/M67)),K67)+Inputs!$B$41)</f>
        <v>291.8</v>
      </c>
      <c r="O67" s="29">
        <f>MIN(IF(OR(Inputs!$C$68=0,((((Inputs!$C$68*COS((-$B67))+Inputs!$B$68*SIN((-$B67)))-Inputs!$B$5)*(K67-Inputs!$B$5)+((Inputs!$C$68*SIN((-$B67))-Inputs!$B$68*COS((-$B67)))-Inputs!$B$6)*(L67-Inputs!$B$6))/M67)&lt;0,((((Inputs!$C$68*COS((-$B67))+Inputs!$B$68*SIN((-$B67)))-Inputs!$B$5)*(K67-Inputs!$B$5)+((Inputs!$C$68*SIN((-$B67))-Inputs!$B$68*COS((-$B67)))-Inputs!$B$6)*(L67-Inputs!$B$6))/M67)&gt;M67-Inputs!$B$40),999,(ABS((K67-Inputs!$B$5)*((Inputs!$C$68*SIN((-$B67))-Inputs!$B$68*COS((-$B67)))-Inputs!$B$6)-(L67-Inputs!$B$6)*((Inputs!$C$68*COS((-$B67))+Inputs!$B$68*SIN((-$B67)))-Inputs!$B$5))/M67)-IF(((((Inputs!$C$68*COS((-$B67))+Inputs!$B$68*SIN((-$B67)))-Inputs!$B$5)*(K67-Inputs!$B$5)+((Inputs!$C$68*SIN((-$B67))-Inputs!$B$68*COS((-$B67)))-Inputs!$B$6)*(L67-Inputs!$B$6))/M67)&lt;$B$16,$B$7/2,$B$8/2)-Inputs!$B$39),IF(OR(Inputs!$C$69=0,((((Inputs!$C$69*COS((-$B67))+Inputs!$B$69*SIN((-$B67)))-Inputs!$B$5)*(K67-Inputs!$B$5)+((Inputs!$C$69*SIN((-$B67))-Inputs!$B$69*COS((-$B67)))-Inputs!$B$6)*(L67-Inputs!$B$6))/M67)&lt;0,((((Inputs!$C$69*COS((-$B67))+Inputs!$B$69*SIN((-$B67)))-Inputs!$B$5)*(K67-Inputs!$B$5)+((Inputs!$C$69*SIN((-$B67))-Inputs!$B$69*COS((-$B67)))-Inputs!$B$6)*(L67-Inputs!$B$6))/M67)&gt;M67-Inputs!$B$40),999,(ABS((K67-Inputs!$B$5)*((Inputs!$C$69*SIN((-$B67))-Inputs!$B$69*COS((-$B67)))-Inputs!$B$6)-(L67-Inputs!$B$6)*((Inputs!$C$69*COS((-$B67))+Inputs!$B$69*SIN((-$B67)))-Inputs!$B$5))/M67)-IF(((((Inputs!$C$69*COS((-$B67))+Inputs!$B$69*SIN((-$B67)))-Inputs!$B$5)*(K67-Inputs!$B$5)+((Inputs!$C$69*SIN((-$B67))-Inputs!$B$69*COS((-$B67)))-Inputs!$B$6)*(L67-Inputs!$B$6))/M67)&lt;$B$16,$B$7/2,$B$8/2)-Inputs!$B$39),IF(OR(Inputs!$C$70=0,((((Inputs!$C$70*COS((-$B67))+Inputs!$B$70*SIN((-$B67)))-Inputs!$B$5)*(K67-Inputs!$B$5)+((Inputs!$C$70*SIN((-$B67))-Inputs!$B$70*COS((-$B67)))-Inputs!$B$6)*(L67-Inputs!$B$6))/M67)&lt;0,((((Inputs!$C$70*COS((-$B67))+Inputs!$B$70*SIN((-$B67)))-Inputs!$B$5)*(K67-Inputs!$B$5)+((Inputs!$C$70*SIN((-$B67))-Inputs!$B$70*COS((-$B67)))-Inputs!$B$6)*(L67-Inputs!$B$6))/M67)&gt;M67-Inputs!$B$40),999,(ABS((K67-Inputs!$B$5)*((Inputs!$C$70*SIN((-$B67))-Inputs!$B$70*COS((-$B67)))-Inputs!$B$6)-(L67-Inputs!$B$6)*((Inputs!$C$70*COS((-$B67))+Inputs!$B$70*SIN((-$B67)))-Inputs!$B$5))/M67)-IF(((((Inputs!$C$70*COS((-$B67))+Inputs!$B$70*SIN((-$B67)))-Inputs!$B$5)*(K67-Inputs!$B$5)+((Inputs!$C$70*SIN((-$B67))-Inputs!$B$70*COS((-$B67)))-Inputs!$B$6)*(L67-Inputs!$B$6))/M67)&lt;$B$16,$B$7/2,$B$8/2)-Inputs!$B$39),IF(OR(Inputs!$C$71=0,((((Inputs!$C$71*COS((-$B67))+Inputs!$B$71*SIN((-$B67)))-Inputs!$B$5)*(K67-Inputs!$B$5)+((Inputs!$C$71*SIN((-$B67))-Inputs!$B$71*COS((-$B67)))-Inputs!$B$6)*(L67-Inputs!$B$6))/M67)&lt;0,((((Inputs!$C$71*COS((-$B67))+Inputs!$B$71*SIN((-$B67)))-Inputs!$B$5)*(K67-Inputs!$B$5)+((Inputs!$C$71*SIN((-$B67))-Inputs!$B$71*COS((-$B67)))-Inputs!$B$6)*(L67-Inputs!$B$6))/M67)&gt;M67-Inputs!$B$40),999,(ABS((K67-Inputs!$B$5)*((Inputs!$C$71*SIN((-$B67))-Inputs!$B$71*COS((-$B67)))-Inputs!$B$6)-(L67-Inputs!$B$6)*((Inputs!$C$71*COS((-$B67))+Inputs!$B$71*SIN((-$B67)))-Inputs!$B$5))/M67)-IF(((((Inputs!$C$71*COS((-$B67))+Inputs!$B$71*SIN((-$B67)))-Inputs!$B$5)*(K67-Inputs!$B$5)+((Inputs!$C$71*SIN((-$B67))-Inputs!$B$71*COS((-$B67)))-Inputs!$B$6)*(L67-Inputs!$B$6))/M67)&lt;$B$16,$B$7/2,$B$8/2)-Inputs!$B$39),IF(OR(Inputs!$C$72=0,((((Inputs!$C$72*COS((-$B67))+Inputs!$B$72*SIN((-$B67)))-Inputs!$B$5)*(K67-Inputs!$B$5)+((Inputs!$C$72*SIN((-$B67))-Inputs!$B$72*COS((-$B67)))-Inputs!$B$6)*(L67-Inputs!$B$6))/M67)&lt;0,((((Inputs!$C$72*COS((-$B67))+Inputs!$B$72*SIN((-$B67)))-Inputs!$B$5)*(K67-Inputs!$B$5)+((Inputs!$C$72*SIN((-$B67))-Inputs!$B$72*COS((-$B67)))-Inputs!$B$6)*(L67-Inputs!$B$6))/M67)&gt;M67-Inputs!$B$40),999,(ABS((K67-Inputs!$B$5)*((Inputs!$C$72*SIN((-$B67))-Inputs!$B$72*COS((-$B67)))-Inputs!$B$6)-(L67-Inputs!$B$6)*((Inputs!$C$72*COS((-$B67))+Inputs!$B$72*SIN((-$B67)))-Inputs!$B$5))/M67)-IF(((((Inputs!$C$72*COS((-$B67))+Inputs!$B$72*SIN((-$B67)))-Inputs!$B$5)*(K67-Inputs!$B$5)+((Inputs!$C$72*SIN((-$B67))-Inputs!$B$72*COS((-$B67)))-Inputs!$B$6)*(L67-Inputs!$B$6))/M67)&lt;$B$16,$B$7/2,$B$8/2)-Inputs!$B$39))</f>
        <v>17.64752283</v>
      </c>
      <c r="P67" s="76">
        <f>IF(AND(M67&gt;=$B$14,M67&lt;=$B$15,N67&lt;=Inputs!$B$38,O67&gt;=0,$D67=1),1,0)</f>
        <v>1</v>
      </c>
    </row>
    <row r="68" ht="15.75" customHeight="1">
      <c r="A68" s="23">
        <v>6.25</v>
      </c>
      <c r="B68" s="40">
        <f t="shared" si="4"/>
        <v>0.1090830782</v>
      </c>
      <c r="C68" s="29">
        <f>MAX(Inputs!$C$68*COS($B68)+Inputs!$B$68*ABS(SIN($B68)),Inputs!$C$69*COS($B68)+Inputs!$B$69*ABS(SIN($B68)),Inputs!$C$70*COS($B68)+Inputs!$B$70*ABS(SIN($B68)),Inputs!$C$71*COS($B68)+Inputs!$B$71*ABS(SIN($B68)),Inputs!$C$72*COS($B68)+Inputs!$B$72*ABS(SIN($B68)))</f>
        <v>121.9332787</v>
      </c>
      <c r="D68" s="71">
        <f>IF(C68&lt;=Inputs!$B$38,1,0)</f>
        <v>1</v>
      </c>
      <c r="E68" s="29">
        <f>Inputs!$B$11*COS(($B68))-Inputs!$B$7*SIN(($B68))</f>
        <v>117.0586453</v>
      </c>
      <c r="F68" s="29">
        <f>Inputs!$B$11*SIN(($B68))+Inputs!$B$7*COS(($B68))</f>
        <v>-188.3758334</v>
      </c>
      <c r="G68" s="29">
        <f>SQRT((E68-Inputs!$B$5)^2+(F68-Inputs!$B$6)^2)</f>
        <v>317.5437372</v>
      </c>
      <c r="H68" s="29">
        <f>MAX(MAX(Inputs!$B$5,(Inputs!$B$5+(E68-Inputs!$B$5)*MIN(1,$B$16/G68)))+$B$7/2,MAX((Inputs!$B$5+(E68-Inputs!$B$5)*MIN(1,$B$16/G68)),E68)+Inputs!$B$41)</f>
        <v>291.8</v>
      </c>
      <c r="I68" s="29">
        <f>MIN(IF(OR(Inputs!$C$68=0,((((Inputs!$C$68*COS(($B68))+Inputs!$B$68*SIN(($B68)))-Inputs!$B$5)*(E68-Inputs!$B$5)+((Inputs!$C$68*SIN(($B68))-Inputs!$B$68*COS(($B68)))-Inputs!$B$6)*(F68-Inputs!$B$6))/G68)&lt;0,((((Inputs!$C$68*COS(($B68))+Inputs!$B$68*SIN(($B68)))-Inputs!$B$5)*(E68-Inputs!$B$5)+((Inputs!$C$68*SIN(($B68))-Inputs!$B$68*COS(($B68)))-Inputs!$B$6)*(F68-Inputs!$B$6))/G68)&gt;G68-Inputs!$B$40),999,(ABS((E68-Inputs!$B$5)*((Inputs!$C$68*SIN(($B68))-Inputs!$B$68*COS(($B68)))-Inputs!$B$6)-(F68-Inputs!$B$6)*((Inputs!$C$68*COS(($B68))+Inputs!$B$68*SIN(($B68)))-Inputs!$B$5))/G68)-IF(((((Inputs!$C$68*COS(($B68))+Inputs!$B$68*SIN(($B68)))-Inputs!$B$5)*(E68-Inputs!$B$5)+((Inputs!$C$68*SIN(($B68))-Inputs!$B$68*COS(($B68)))-Inputs!$B$6)*(F68-Inputs!$B$6))/G68)&lt;$B$16,$B$7/2,$B$8/2)-Inputs!$B$39),IF(OR(Inputs!$C$69=0,((((Inputs!$C$69*COS(($B68))+Inputs!$B$69*SIN(($B68)))-Inputs!$B$5)*(E68-Inputs!$B$5)+((Inputs!$C$69*SIN(($B68))-Inputs!$B$69*COS(($B68)))-Inputs!$B$6)*(F68-Inputs!$B$6))/G68)&lt;0,((((Inputs!$C$69*COS(($B68))+Inputs!$B$69*SIN(($B68)))-Inputs!$B$5)*(E68-Inputs!$B$5)+((Inputs!$C$69*SIN(($B68))-Inputs!$B$69*COS(($B68)))-Inputs!$B$6)*(F68-Inputs!$B$6))/G68)&gt;G68-Inputs!$B$40),999,(ABS((E68-Inputs!$B$5)*((Inputs!$C$69*SIN(($B68))-Inputs!$B$69*COS(($B68)))-Inputs!$B$6)-(F68-Inputs!$B$6)*((Inputs!$C$69*COS(($B68))+Inputs!$B$69*SIN(($B68)))-Inputs!$B$5))/G68)-IF(((((Inputs!$C$69*COS(($B68))+Inputs!$B$69*SIN(($B68)))-Inputs!$B$5)*(E68-Inputs!$B$5)+((Inputs!$C$69*SIN(($B68))-Inputs!$B$69*COS(($B68)))-Inputs!$B$6)*(F68-Inputs!$B$6))/G68)&lt;$B$16,$B$7/2,$B$8/2)-Inputs!$B$39),IF(OR(Inputs!$C$70=0,((((Inputs!$C$70*COS(($B68))+Inputs!$B$70*SIN(($B68)))-Inputs!$B$5)*(E68-Inputs!$B$5)+((Inputs!$C$70*SIN(($B68))-Inputs!$B$70*COS(($B68)))-Inputs!$B$6)*(F68-Inputs!$B$6))/G68)&lt;0,((((Inputs!$C$70*COS(($B68))+Inputs!$B$70*SIN(($B68)))-Inputs!$B$5)*(E68-Inputs!$B$5)+((Inputs!$C$70*SIN(($B68))-Inputs!$B$70*COS(($B68)))-Inputs!$B$6)*(F68-Inputs!$B$6))/G68)&gt;G68-Inputs!$B$40),999,(ABS((E68-Inputs!$B$5)*((Inputs!$C$70*SIN(($B68))-Inputs!$B$70*COS(($B68)))-Inputs!$B$6)-(F68-Inputs!$B$6)*((Inputs!$C$70*COS(($B68))+Inputs!$B$70*SIN(($B68)))-Inputs!$B$5))/G68)-IF(((((Inputs!$C$70*COS(($B68))+Inputs!$B$70*SIN(($B68)))-Inputs!$B$5)*(E68-Inputs!$B$5)+((Inputs!$C$70*SIN(($B68))-Inputs!$B$70*COS(($B68)))-Inputs!$B$6)*(F68-Inputs!$B$6))/G68)&lt;$B$16,$B$7/2,$B$8/2)-Inputs!$B$39),IF(OR(Inputs!$C$71=0,((((Inputs!$C$71*COS(($B68))+Inputs!$B$71*SIN(($B68)))-Inputs!$B$5)*(E68-Inputs!$B$5)+((Inputs!$C$71*SIN(($B68))-Inputs!$B$71*COS(($B68)))-Inputs!$B$6)*(F68-Inputs!$B$6))/G68)&lt;0,((((Inputs!$C$71*COS(($B68))+Inputs!$B$71*SIN(($B68)))-Inputs!$B$5)*(E68-Inputs!$B$5)+((Inputs!$C$71*SIN(($B68))-Inputs!$B$71*COS(($B68)))-Inputs!$B$6)*(F68-Inputs!$B$6))/G68)&gt;G68-Inputs!$B$40),999,(ABS((E68-Inputs!$B$5)*((Inputs!$C$71*SIN(($B68))-Inputs!$B$71*COS(($B68)))-Inputs!$B$6)-(F68-Inputs!$B$6)*((Inputs!$C$71*COS(($B68))+Inputs!$B$71*SIN(($B68)))-Inputs!$B$5))/G68)-IF(((((Inputs!$C$71*COS(($B68))+Inputs!$B$71*SIN(($B68)))-Inputs!$B$5)*(E68-Inputs!$B$5)+((Inputs!$C$71*SIN(($B68))-Inputs!$B$71*COS(($B68)))-Inputs!$B$6)*(F68-Inputs!$B$6))/G68)&lt;$B$16,$B$7/2,$B$8/2)-Inputs!$B$39),IF(OR(Inputs!$C$72=0,((((Inputs!$C$72*COS(($B68))+Inputs!$B$72*SIN(($B68)))-Inputs!$B$5)*(E68-Inputs!$B$5)+((Inputs!$C$72*SIN(($B68))-Inputs!$B$72*COS(($B68)))-Inputs!$B$6)*(F68-Inputs!$B$6))/G68)&lt;0,((((Inputs!$C$72*COS(($B68))+Inputs!$B$72*SIN(($B68)))-Inputs!$B$5)*(E68-Inputs!$B$5)+((Inputs!$C$72*SIN(($B68))-Inputs!$B$72*COS(($B68)))-Inputs!$B$6)*(F68-Inputs!$B$6))/G68)&gt;G68-Inputs!$B$40),999,(ABS((E68-Inputs!$B$5)*((Inputs!$C$72*SIN(($B68))-Inputs!$B$72*COS(($B68)))-Inputs!$B$6)-(F68-Inputs!$B$6)*((Inputs!$C$72*COS(($B68))+Inputs!$B$72*SIN(($B68)))-Inputs!$B$5))/G68)-IF(((((Inputs!$C$72*COS(($B68))+Inputs!$B$72*SIN(($B68)))-Inputs!$B$5)*(E68-Inputs!$B$5)+((Inputs!$C$72*SIN(($B68))-Inputs!$B$72*COS(($B68)))-Inputs!$B$6)*(F68-Inputs!$B$6))/G68)&lt;$B$16,$B$7/2,$B$8/2)-Inputs!$B$39))</f>
        <v>33.26635459</v>
      </c>
      <c r="J68" s="76">
        <f>IF(AND(G68&gt;=$B$14,G68&lt;=$B$15,H68&lt;=Inputs!$B$38,I68&gt;=0,$D68=1),1,0)</f>
        <v>1</v>
      </c>
      <c r="K68" s="29">
        <f>Inputs!$B$11*COS((-$B68))-Inputs!$B$7*SIN((-$B68))</f>
        <v>73.51189533</v>
      </c>
      <c r="L68" s="29">
        <f>Inputs!$B$11*SIN((-$B68))+Inputs!$B$7*COS((-$B68))</f>
        <v>-209.2467019</v>
      </c>
      <c r="M68" s="29">
        <f>SQRT((K68-Inputs!$B$5)^2+(L68-Inputs!$B$6)^2)</f>
        <v>356.0640023</v>
      </c>
      <c r="N68" s="29">
        <f>MAX(MAX(Inputs!$B$5,(Inputs!$B$5+(K68-Inputs!$B$5)*MIN(1,$B$16/M68)))+$B$7/2,MAX((Inputs!$B$5+(K68-Inputs!$B$5)*MIN(1,$B$16/M68)),K68)+Inputs!$B$41)</f>
        <v>291.8</v>
      </c>
      <c r="O68" s="29">
        <f>MIN(IF(OR(Inputs!$C$68=0,((((Inputs!$C$68*COS((-$B68))+Inputs!$B$68*SIN((-$B68)))-Inputs!$B$5)*(K68-Inputs!$B$5)+((Inputs!$C$68*SIN((-$B68))-Inputs!$B$68*COS((-$B68)))-Inputs!$B$6)*(L68-Inputs!$B$6))/M68)&lt;0,((((Inputs!$C$68*COS((-$B68))+Inputs!$B$68*SIN((-$B68)))-Inputs!$B$5)*(K68-Inputs!$B$5)+((Inputs!$C$68*SIN((-$B68))-Inputs!$B$68*COS((-$B68)))-Inputs!$B$6)*(L68-Inputs!$B$6))/M68)&gt;M68-Inputs!$B$40),999,(ABS((K68-Inputs!$B$5)*((Inputs!$C$68*SIN((-$B68))-Inputs!$B$68*COS((-$B68)))-Inputs!$B$6)-(L68-Inputs!$B$6)*((Inputs!$C$68*COS((-$B68))+Inputs!$B$68*SIN((-$B68)))-Inputs!$B$5))/M68)-IF(((((Inputs!$C$68*COS((-$B68))+Inputs!$B$68*SIN((-$B68)))-Inputs!$B$5)*(K68-Inputs!$B$5)+((Inputs!$C$68*SIN((-$B68))-Inputs!$B$68*COS((-$B68)))-Inputs!$B$6)*(L68-Inputs!$B$6))/M68)&lt;$B$16,$B$7/2,$B$8/2)-Inputs!$B$39),IF(OR(Inputs!$C$69=0,((((Inputs!$C$69*COS((-$B68))+Inputs!$B$69*SIN((-$B68)))-Inputs!$B$5)*(K68-Inputs!$B$5)+((Inputs!$C$69*SIN((-$B68))-Inputs!$B$69*COS((-$B68)))-Inputs!$B$6)*(L68-Inputs!$B$6))/M68)&lt;0,((((Inputs!$C$69*COS((-$B68))+Inputs!$B$69*SIN((-$B68)))-Inputs!$B$5)*(K68-Inputs!$B$5)+((Inputs!$C$69*SIN((-$B68))-Inputs!$B$69*COS((-$B68)))-Inputs!$B$6)*(L68-Inputs!$B$6))/M68)&gt;M68-Inputs!$B$40),999,(ABS((K68-Inputs!$B$5)*((Inputs!$C$69*SIN((-$B68))-Inputs!$B$69*COS((-$B68)))-Inputs!$B$6)-(L68-Inputs!$B$6)*((Inputs!$C$69*COS((-$B68))+Inputs!$B$69*SIN((-$B68)))-Inputs!$B$5))/M68)-IF(((((Inputs!$C$69*COS((-$B68))+Inputs!$B$69*SIN((-$B68)))-Inputs!$B$5)*(K68-Inputs!$B$5)+((Inputs!$C$69*SIN((-$B68))-Inputs!$B$69*COS((-$B68)))-Inputs!$B$6)*(L68-Inputs!$B$6))/M68)&lt;$B$16,$B$7/2,$B$8/2)-Inputs!$B$39),IF(OR(Inputs!$C$70=0,((((Inputs!$C$70*COS((-$B68))+Inputs!$B$70*SIN((-$B68)))-Inputs!$B$5)*(K68-Inputs!$B$5)+((Inputs!$C$70*SIN((-$B68))-Inputs!$B$70*COS((-$B68)))-Inputs!$B$6)*(L68-Inputs!$B$6))/M68)&lt;0,((((Inputs!$C$70*COS((-$B68))+Inputs!$B$70*SIN((-$B68)))-Inputs!$B$5)*(K68-Inputs!$B$5)+((Inputs!$C$70*SIN((-$B68))-Inputs!$B$70*COS((-$B68)))-Inputs!$B$6)*(L68-Inputs!$B$6))/M68)&gt;M68-Inputs!$B$40),999,(ABS((K68-Inputs!$B$5)*((Inputs!$C$70*SIN((-$B68))-Inputs!$B$70*COS((-$B68)))-Inputs!$B$6)-(L68-Inputs!$B$6)*((Inputs!$C$70*COS((-$B68))+Inputs!$B$70*SIN((-$B68)))-Inputs!$B$5))/M68)-IF(((((Inputs!$C$70*COS((-$B68))+Inputs!$B$70*SIN((-$B68)))-Inputs!$B$5)*(K68-Inputs!$B$5)+((Inputs!$C$70*SIN((-$B68))-Inputs!$B$70*COS((-$B68)))-Inputs!$B$6)*(L68-Inputs!$B$6))/M68)&lt;$B$16,$B$7/2,$B$8/2)-Inputs!$B$39),IF(OR(Inputs!$C$71=0,((((Inputs!$C$71*COS((-$B68))+Inputs!$B$71*SIN((-$B68)))-Inputs!$B$5)*(K68-Inputs!$B$5)+((Inputs!$C$71*SIN((-$B68))-Inputs!$B$71*COS((-$B68)))-Inputs!$B$6)*(L68-Inputs!$B$6))/M68)&lt;0,((((Inputs!$C$71*COS((-$B68))+Inputs!$B$71*SIN((-$B68)))-Inputs!$B$5)*(K68-Inputs!$B$5)+((Inputs!$C$71*SIN((-$B68))-Inputs!$B$71*COS((-$B68)))-Inputs!$B$6)*(L68-Inputs!$B$6))/M68)&gt;M68-Inputs!$B$40),999,(ABS((K68-Inputs!$B$5)*((Inputs!$C$71*SIN((-$B68))-Inputs!$B$71*COS((-$B68)))-Inputs!$B$6)-(L68-Inputs!$B$6)*((Inputs!$C$71*COS((-$B68))+Inputs!$B$71*SIN((-$B68)))-Inputs!$B$5))/M68)-IF(((((Inputs!$C$71*COS((-$B68))+Inputs!$B$71*SIN((-$B68)))-Inputs!$B$5)*(K68-Inputs!$B$5)+((Inputs!$C$71*SIN((-$B68))-Inputs!$B$71*COS((-$B68)))-Inputs!$B$6)*(L68-Inputs!$B$6))/M68)&lt;$B$16,$B$7/2,$B$8/2)-Inputs!$B$39),IF(OR(Inputs!$C$72=0,((((Inputs!$C$72*COS((-$B68))+Inputs!$B$72*SIN((-$B68)))-Inputs!$B$5)*(K68-Inputs!$B$5)+((Inputs!$C$72*SIN((-$B68))-Inputs!$B$72*COS((-$B68)))-Inputs!$B$6)*(L68-Inputs!$B$6))/M68)&lt;0,((((Inputs!$C$72*COS((-$B68))+Inputs!$B$72*SIN((-$B68)))-Inputs!$B$5)*(K68-Inputs!$B$5)+((Inputs!$C$72*SIN((-$B68))-Inputs!$B$72*COS((-$B68)))-Inputs!$B$6)*(L68-Inputs!$B$6))/M68)&gt;M68-Inputs!$B$40),999,(ABS((K68-Inputs!$B$5)*((Inputs!$C$72*SIN((-$B68))-Inputs!$B$72*COS((-$B68)))-Inputs!$B$6)-(L68-Inputs!$B$6)*((Inputs!$C$72*COS((-$B68))+Inputs!$B$72*SIN((-$B68)))-Inputs!$B$5))/M68)-IF(((((Inputs!$C$72*COS((-$B68))+Inputs!$B$72*SIN((-$B68)))-Inputs!$B$5)*(K68-Inputs!$B$5)+((Inputs!$C$72*SIN((-$B68))-Inputs!$B$72*COS((-$B68)))-Inputs!$B$6)*(L68-Inputs!$B$6))/M68)&lt;$B$16,$B$7/2,$B$8/2)-Inputs!$B$39))</f>
        <v>17.32308435</v>
      </c>
      <c r="P68" s="76">
        <f>IF(AND(M68&gt;=$B$14,M68&lt;=$B$15,N68&lt;=Inputs!$B$38,O68&gt;=0,$D68=1),1,0)</f>
        <v>1</v>
      </c>
    </row>
    <row r="69" ht="15.75" customHeight="1">
      <c r="A69" s="23">
        <v>6.5</v>
      </c>
      <c r="B69" s="40">
        <f t="shared" si="4"/>
        <v>0.1134464014</v>
      </c>
      <c r="C69" s="29">
        <f>MAX(Inputs!$C$68*COS($B69)+Inputs!$B$68*ABS(SIN($B69)),Inputs!$C$69*COS($B69)+Inputs!$B$69*ABS(SIN($B69)),Inputs!$C$70*COS($B69)+Inputs!$B$70*ABS(SIN($B69)),Inputs!$C$71*COS($B69)+Inputs!$B$71*ABS(SIN($B69)),Inputs!$C$72*COS($B69)+Inputs!$B$72*ABS(SIN($B69)))</f>
        <v>123.6238075</v>
      </c>
      <c r="D69" s="71">
        <f>IF(C69&lt;=Inputs!$B$38,1,0)</f>
        <v>1</v>
      </c>
      <c r="E69" s="29">
        <f>Inputs!$B$11*COS(($B69))-Inputs!$B$7*SIN(($B69))</f>
        <v>117.879473</v>
      </c>
      <c r="F69" s="29">
        <f>Inputs!$B$11*SIN(($B69))+Inputs!$B$7*COS(($B69))</f>
        <v>-187.8632771</v>
      </c>
      <c r="G69" s="29">
        <f>SQRT((E69-Inputs!$B$5)^2+(F69-Inputs!$B$6)^2)</f>
        <v>316.7350627</v>
      </c>
      <c r="H69" s="29">
        <f>MAX(MAX(Inputs!$B$5,(Inputs!$B$5+(E69-Inputs!$B$5)*MIN(1,$B$16/G69)))+$B$7/2,MAX((Inputs!$B$5+(E69-Inputs!$B$5)*MIN(1,$B$16/G69)),E69)+Inputs!$B$41)</f>
        <v>291.8</v>
      </c>
      <c r="I69" s="29">
        <f>MIN(IF(OR(Inputs!$C$68=0,((((Inputs!$C$68*COS(($B69))+Inputs!$B$68*SIN(($B69)))-Inputs!$B$5)*(E69-Inputs!$B$5)+((Inputs!$C$68*SIN(($B69))-Inputs!$B$68*COS(($B69)))-Inputs!$B$6)*(F69-Inputs!$B$6))/G69)&lt;0,((((Inputs!$C$68*COS(($B69))+Inputs!$B$68*SIN(($B69)))-Inputs!$B$5)*(E69-Inputs!$B$5)+((Inputs!$C$68*SIN(($B69))-Inputs!$B$68*COS(($B69)))-Inputs!$B$6)*(F69-Inputs!$B$6))/G69)&gt;G69-Inputs!$B$40),999,(ABS((E69-Inputs!$B$5)*((Inputs!$C$68*SIN(($B69))-Inputs!$B$68*COS(($B69)))-Inputs!$B$6)-(F69-Inputs!$B$6)*((Inputs!$C$68*COS(($B69))+Inputs!$B$68*SIN(($B69)))-Inputs!$B$5))/G69)-IF(((((Inputs!$C$68*COS(($B69))+Inputs!$B$68*SIN(($B69)))-Inputs!$B$5)*(E69-Inputs!$B$5)+((Inputs!$C$68*SIN(($B69))-Inputs!$B$68*COS(($B69)))-Inputs!$B$6)*(F69-Inputs!$B$6))/G69)&lt;$B$16,$B$7/2,$B$8/2)-Inputs!$B$39),IF(OR(Inputs!$C$69=0,((((Inputs!$C$69*COS(($B69))+Inputs!$B$69*SIN(($B69)))-Inputs!$B$5)*(E69-Inputs!$B$5)+((Inputs!$C$69*SIN(($B69))-Inputs!$B$69*COS(($B69)))-Inputs!$B$6)*(F69-Inputs!$B$6))/G69)&lt;0,((((Inputs!$C$69*COS(($B69))+Inputs!$B$69*SIN(($B69)))-Inputs!$B$5)*(E69-Inputs!$B$5)+((Inputs!$C$69*SIN(($B69))-Inputs!$B$69*COS(($B69)))-Inputs!$B$6)*(F69-Inputs!$B$6))/G69)&gt;G69-Inputs!$B$40),999,(ABS((E69-Inputs!$B$5)*((Inputs!$C$69*SIN(($B69))-Inputs!$B$69*COS(($B69)))-Inputs!$B$6)-(F69-Inputs!$B$6)*((Inputs!$C$69*COS(($B69))+Inputs!$B$69*SIN(($B69)))-Inputs!$B$5))/G69)-IF(((((Inputs!$C$69*COS(($B69))+Inputs!$B$69*SIN(($B69)))-Inputs!$B$5)*(E69-Inputs!$B$5)+((Inputs!$C$69*SIN(($B69))-Inputs!$B$69*COS(($B69)))-Inputs!$B$6)*(F69-Inputs!$B$6))/G69)&lt;$B$16,$B$7/2,$B$8/2)-Inputs!$B$39),IF(OR(Inputs!$C$70=0,((((Inputs!$C$70*COS(($B69))+Inputs!$B$70*SIN(($B69)))-Inputs!$B$5)*(E69-Inputs!$B$5)+((Inputs!$C$70*SIN(($B69))-Inputs!$B$70*COS(($B69)))-Inputs!$B$6)*(F69-Inputs!$B$6))/G69)&lt;0,((((Inputs!$C$70*COS(($B69))+Inputs!$B$70*SIN(($B69)))-Inputs!$B$5)*(E69-Inputs!$B$5)+((Inputs!$C$70*SIN(($B69))-Inputs!$B$70*COS(($B69)))-Inputs!$B$6)*(F69-Inputs!$B$6))/G69)&gt;G69-Inputs!$B$40),999,(ABS((E69-Inputs!$B$5)*((Inputs!$C$70*SIN(($B69))-Inputs!$B$70*COS(($B69)))-Inputs!$B$6)-(F69-Inputs!$B$6)*((Inputs!$C$70*COS(($B69))+Inputs!$B$70*SIN(($B69)))-Inputs!$B$5))/G69)-IF(((((Inputs!$C$70*COS(($B69))+Inputs!$B$70*SIN(($B69)))-Inputs!$B$5)*(E69-Inputs!$B$5)+((Inputs!$C$70*SIN(($B69))-Inputs!$B$70*COS(($B69)))-Inputs!$B$6)*(F69-Inputs!$B$6))/G69)&lt;$B$16,$B$7/2,$B$8/2)-Inputs!$B$39),IF(OR(Inputs!$C$71=0,((((Inputs!$C$71*COS(($B69))+Inputs!$B$71*SIN(($B69)))-Inputs!$B$5)*(E69-Inputs!$B$5)+((Inputs!$C$71*SIN(($B69))-Inputs!$B$71*COS(($B69)))-Inputs!$B$6)*(F69-Inputs!$B$6))/G69)&lt;0,((((Inputs!$C$71*COS(($B69))+Inputs!$B$71*SIN(($B69)))-Inputs!$B$5)*(E69-Inputs!$B$5)+((Inputs!$C$71*SIN(($B69))-Inputs!$B$71*COS(($B69)))-Inputs!$B$6)*(F69-Inputs!$B$6))/G69)&gt;G69-Inputs!$B$40),999,(ABS((E69-Inputs!$B$5)*((Inputs!$C$71*SIN(($B69))-Inputs!$B$71*COS(($B69)))-Inputs!$B$6)-(F69-Inputs!$B$6)*((Inputs!$C$71*COS(($B69))+Inputs!$B$71*SIN(($B69)))-Inputs!$B$5))/G69)-IF(((((Inputs!$C$71*COS(($B69))+Inputs!$B$71*SIN(($B69)))-Inputs!$B$5)*(E69-Inputs!$B$5)+((Inputs!$C$71*SIN(($B69))-Inputs!$B$71*COS(($B69)))-Inputs!$B$6)*(F69-Inputs!$B$6))/G69)&lt;$B$16,$B$7/2,$B$8/2)-Inputs!$B$39),IF(OR(Inputs!$C$72=0,((((Inputs!$C$72*COS(($B69))+Inputs!$B$72*SIN(($B69)))-Inputs!$B$5)*(E69-Inputs!$B$5)+((Inputs!$C$72*SIN(($B69))-Inputs!$B$72*COS(($B69)))-Inputs!$B$6)*(F69-Inputs!$B$6))/G69)&lt;0,((((Inputs!$C$72*COS(($B69))+Inputs!$B$72*SIN(($B69)))-Inputs!$B$5)*(E69-Inputs!$B$5)+((Inputs!$C$72*SIN(($B69))-Inputs!$B$72*COS(($B69)))-Inputs!$B$6)*(F69-Inputs!$B$6))/G69)&gt;G69-Inputs!$B$40),999,(ABS((E69-Inputs!$B$5)*((Inputs!$C$72*SIN(($B69))-Inputs!$B$72*COS(($B69)))-Inputs!$B$6)-(F69-Inputs!$B$6)*((Inputs!$C$72*COS(($B69))+Inputs!$B$72*SIN(($B69)))-Inputs!$B$5))/G69)-IF(((((Inputs!$C$72*COS(($B69))+Inputs!$B$72*SIN(($B69)))-Inputs!$B$5)*(E69-Inputs!$B$5)+((Inputs!$C$72*SIN(($B69))-Inputs!$B$72*COS(($B69)))-Inputs!$B$6)*(F69-Inputs!$B$6))/G69)&lt;$B$16,$B$7/2,$B$8/2)-Inputs!$B$39))</f>
        <v>33.57893559</v>
      </c>
      <c r="J69" s="76">
        <f>IF(AND(G69&gt;=$B$14,G69&lt;=$B$15,H69&lt;=Inputs!$B$38,I69&gt;=0,$D69=1),1,0)</f>
        <v>1</v>
      </c>
      <c r="K69" s="29">
        <f>Inputs!$B$11*COS((-$B69))-Inputs!$B$7*SIN((-$B69))</f>
        <v>72.59818747</v>
      </c>
      <c r="L69" s="29">
        <f>Inputs!$B$11*SIN((-$B69))+Inputs!$B$7*COS((-$B69))</f>
        <v>-209.5654652</v>
      </c>
      <c r="M69" s="29">
        <f>SQRT((K69-Inputs!$B$5)^2+(L69-Inputs!$B$6)^2)</f>
        <v>356.794311</v>
      </c>
      <c r="N69" s="29">
        <f>MAX(MAX(Inputs!$B$5,(Inputs!$B$5+(K69-Inputs!$B$5)*MIN(1,$B$16/M69)))+$B$7/2,MAX((Inputs!$B$5+(K69-Inputs!$B$5)*MIN(1,$B$16/M69)),K69)+Inputs!$B$41)</f>
        <v>291.8</v>
      </c>
      <c r="O69" s="29">
        <f>MIN(IF(OR(Inputs!$C$68=0,((((Inputs!$C$68*COS((-$B69))+Inputs!$B$68*SIN((-$B69)))-Inputs!$B$5)*(K69-Inputs!$B$5)+((Inputs!$C$68*SIN((-$B69))-Inputs!$B$68*COS((-$B69)))-Inputs!$B$6)*(L69-Inputs!$B$6))/M69)&lt;0,((((Inputs!$C$68*COS((-$B69))+Inputs!$B$68*SIN((-$B69)))-Inputs!$B$5)*(K69-Inputs!$B$5)+((Inputs!$C$68*SIN((-$B69))-Inputs!$B$68*COS((-$B69)))-Inputs!$B$6)*(L69-Inputs!$B$6))/M69)&gt;M69-Inputs!$B$40),999,(ABS((K69-Inputs!$B$5)*((Inputs!$C$68*SIN((-$B69))-Inputs!$B$68*COS((-$B69)))-Inputs!$B$6)-(L69-Inputs!$B$6)*((Inputs!$C$68*COS((-$B69))+Inputs!$B$68*SIN((-$B69)))-Inputs!$B$5))/M69)-IF(((((Inputs!$C$68*COS((-$B69))+Inputs!$B$68*SIN((-$B69)))-Inputs!$B$5)*(K69-Inputs!$B$5)+((Inputs!$C$68*SIN((-$B69))-Inputs!$B$68*COS((-$B69)))-Inputs!$B$6)*(L69-Inputs!$B$6))/M69)&lt;$B$16,$B$7/2,$B$8/2)-Inputs!$B$39),IF(OR(Inputs!$C$69=0,((((Inputs!$C$69*COS((-$B69))+Inputs!$B$69*SIN((-$B69)))-Inputs!$B$5)*(K69-Inputs!$B$5)+((Inputs!$C$69*SIN((-$B69))-Inputs!$B$69*COS((-$B69)))-Inputs!$B$6)*(L69-Inputs!$B$6))/M69)&lt;0,((((Inputs!$C$69*COS((-$B69))+Inputs!$B$69*SIN((-$B69)))-Inputs!$B$5)*(K69-Inputs!$B$5)+((Inputs!$C$69*SIN((-$B69))-Inputs!$B$69*COS((-$B69)))-Inputs!$B$6)*(L69-Inputs!$B$6))/M69)&gt;M69-Inputs!$B$40),999,(ABS((K69-Inputs!$B$5)*((Inputs!$C$69*SIN((-$B69))-Inputs!$B$69*COS((-$B69)))-Inputs!$B$6)-(L69-Inputs!$B$6)*((Inputs!$C$69*COS((-$B69))+Inputs!$B$69*SIN((-$B69)))-Inputs!$B$5))/M69)-IF(((((Inputs!$C$69*COS((-$B69))+Inputs!$B$69*SIN((-$B69)))-Inputs!$B$5)*(K69-Inputs!$B$5)+((Inputs!$C$69*SIN((-$B69))-Inputs!$B$69*COS((-$B69)))-Inputs!$B$6)*(L69-Inputs!$B$6))/M69)&lt;$B$16,$B$7/2,$B$8/2)-Inputs!$B$39),IF(OR(Inputs!$C$70=0,((((Inputs!$C$70*COS((-$B69))+Inputs!$B$70*SIN((-$B69)))-Inputs!$B$5)*(K69-Inputs!$B$5)+((Inputs!$C$70*SIN((-$B69))-Inputs!$B$70*COS((-$B69)))-Inputs!$B$6)*(L69-Inputs!$B$6))/M69)&lt;0,((((Inputs!$C$70*COS((-$B69))+Inputs!$B$70*SIN((-$B69)))-Inputs!$B$5)*(K69-Inputs!$B$5)+((Inputs!$C$70*SIN((-$B69))-Inputs!$B$70*COS((-$B69)))-Inputs!$B$6)*(L69-Inputs!$B$6))/M69)&gt;M69-Inputs!$B$40),999,(ABS((K69-Inputs!$B$5)*((Inputs!$C$70*SIN((-$B69))-Inputs!$B$70*COS((-$B69)))-Inputs!$B$6)-(L69-Inputs!$B$6)*((Inputs!$C$70*COS((-$B69))+Inputs!$B$70*SIN((-$B69)))-Inputs!$B$5))/M69)-IF(((((Inputs!$C$70*COS((-$B69))+Inputs!$B$70*SIN((-$B69)))-Inputs!$B$5)*(K69-Inputs!$B$5)+((Inputs!$C$70*SIN((-$B69))-Inputs!$B$70*COS((-$B69)))-Inputs!$B$6)*(L69-Inputs!$B$6))/M69)&lt;$B$16,$B$7/2,$B$8/2)-Inputs!$B$39),IF(OR(Inputs!$C$71=0,((((Inputs!$C$71*COS((-$B69))+Inputs!$B$71*SIN((-$B69)))-Inputs!$B$5)*(K69-Inputs!$B$5)+((Inputs!$C$71*SIN((-$B69))-Inputs!$B$71*COS((-$B69)))-Inputs!$B$6)*(L69-Inputs!$B$6))/M69)&lt;0,((((Inputs!$C$71*COS((-$B69))+Inputs!$B$71*SIN((-$B69)))-Inputs!$B$5)*(K69-Inputs!$B$5)+((Inputs!$C$71*SIN((-$B69))-Inputs!$B$71*COS((-$B69)))-Inputs!$B$6)*(L69-Inputs!$B$6))/M69)&gt;M69-Inputs!$B$40),999,(ABS((K69-Inputs!$B$5)*((Inputs!$C$71*SIN((-$B69))-Inputs!$B$71*COS((-$B69)))-Inputs!$B$6)-(L69-Inputs!$B$6)*((Inputs!$C$71*COS((-$B69))+Inputs!$B$71*SIN((-$B69)))-Inputs!$B$5))/M69)-IF(((((Inputs!$C$71*COS((-$B69))+Inputs!$B$71*SIN((-$B69)))-Inputs!$B$5)*(K69-Inputs!$B$5)+((Inputs!$C$71*SIN((-$B69))-Inputs!$B$71*COS((-$B69)))-Inputs!$B$6)*(L69-Inputs!$B$6))/M69)&lt;$B$16,$B$7/2,$B$8/2)-Inputs!$B$39),IF(OR(Inputs!$C$72=0,((((Inputs!$C$72*COS((-$B69))+Inputs!$B$72*SIN((-$B69)))-Inputs!$B$5)*(K69-Inputs!$B$5)+((Inputs!$C$72*SIN((-$B69))-Inputs!$B$72*COS((-$B69)))-Inputs!$B$6)*(L69-Inputs!$B$6))/M69)&lt;0,((((Inputs!$C$72*COS((-$B69))+Inputs!$B$72*SIN((-$B69)))-Inputs!$B$5)*(K69-Inputs!$B$5)+((Inputs!$C$72*SIN((-$B69))-Inputs!$B$72*COS((-$B69)))-Inputs!$B$6)*(L69-Inputs!$B$6))/M69)&gt;M69-Inputs!$B$40),999,(ABS((K69-Inputs!$B$5)*((Inputs!$C$72*SIN((-$B69))-Inputs!$B$72*COS((-$B69)))-Inputs!$B$6)-(L69-Inputs!$B$6)*((Inputs!$C$72*COS((-$B69))+Inputs!$B$72*SIN((-$B69)))-Inputs!$B$5))/M69)-IF(((((Inputs!$C$72*COS((-$B69))+Inputs!$B$72*SIN((-$B69)))-Inputs!$B$5)*(K69-Inputs!$B$5)+((Inputs!$C$72*SIN((-$B69))-Inputs!$B$72*COS((-$B69)))-Inputs!$B$6)*(L69-Inputs!$B$6))/M69)&lt;$B$16,$B$7/2,$B$8/2)-Inputs!$B$39))</f>
        <v>16.99843846</v>
      </c>
      <c r="P69" s="76">
        <f>IF(AND(M69&gt;=$B$14,M69&lt;=$B$15,N69&lt;=Inputs!$B$38,O69&gt;=0,$D69=1),1,0)</f>
        <v>1</v>
      </c>
    </row>
    <row r="70" ht="15.75" customHeight="1">
      <c r="A70" s="23">
        <v>6.75</v>
      </c>
      <c r="B70" s="40">
        <f t="shared" si="4"/>
        <v>0.1178097245</v>
      </c>
      <c r="C70" s="29">
        <f>MAX(Inputs!$C$68*COS($B70)+Inputs!$B$68*ABS(SIN($B70)),Inputs!$C$69*COS($B70)+Inputs!$B$69*ABS(SIN($B70)),Inputs!$C$70*COS($B70)+Inputs!$B$70*ABS(SIN($B70)),Inputs!$C$71*COS($B70)+Inputs!$B$71*ABS(SIN($B70)),Inputs!$C$72*COS($B70)+Inputs!$B$72*ABS(SIN($B70)))</f>
        <v>125.3119826</v>
      </c>
      <c r="D70" s="71">
        <f>IF(C70&lt;=Inputs!$B$38,1,0)</f>
        <v>1</v>
      </c>
      <c r="E70" s="29">
        <f>Inputs!$B$11*COS(($B70))-Inputs!$B$7*SIN(($B70))</f>
        <v>118.6980564</v>
      </c>
      <c r="F70" s="29">
        <f>Inputs!$B$11*SIN(($B70))+Inputs!$B$7*COS(($B70))</f>
        <v>-187.3471442</v>
      </c>
      <c r="G70" s="29">
        <f>SQRT((E70-Inputs!$B$5)^2+(F70-Inputs!$B$6)^2)</f>
        <v>315.924962</v>
      </c>
      <c r="H70" s="29">
        <f>MAX(MAX(Inputs!$B$5,(Inputs!$B$5+(E70-Inputs!$B$5)*MIN(1,$B$16/G70)))+$B$7/2,MAX((Inputs!$B$5+(E70-Inputs!$B$5)*MIN(1,$B$16/G70)),E70)+Inputs!$B$41)</f>
        <v>291.8</v>
      </c>
      <c r="I70" s="29">
        <f>MIN(IF(OR(Inputs!$C$68=0,((((Inputs!$C$68*COS(($B70))+Inputs!$B$68*SIN(($B70)))-Inputs!$B$5)*(E70-Inputs!$B$5)+((Inputs!$C$68*SIN(($B70))-Inputs!$B$68*COS(($B70)))-Inputs!$B$6)*(F70-Inputs!$B$6))/G70)&lt;0,((((Inputs!$C$68*COS(($B70))+Inputs!$B$68*SIN(($B70)))-Inputs!$B$5)*(E70-Inputs!$B$5)+((Inputs!$C$68*SIN(($B70))-Inputs!$B$68*COS(($B70)))-Inputs!$B$6)*(F70-Inputs!$B$6))/G70)&gt;G70-Inputs!$B$40),999,(ABS((E70-Inputs!$B$5)*((Inputs!$C$68*SIN(($B70))-Inputs!$B$68*COS(($B70)))-Inputs!$B$6)-(F70-Inputs!$B$6)*((Inputs!$C$68*COS(($B70))+Inputs!$B$68*SIN(($B70)))-Inputs!$B$5))/G70)-IF(((((Inputs!$C$68*COS(($B70))+Inputs!$B$68*SIN(($B70)))-Inputs!$B$5)*(E70-Inputs!$B$5)+((Inputs!$C$68*SIN(($B70))-Inputs!$B$68*COS(($B70)))-Inputs!$B$6)*(F70-Inputs!$B$6))/G70)&lt;$B$16,$B$7/2,$B$8/2)-Inputs!$B$39),IF(OR(Inputs!$C$69=0,((((Inputs!$C$69*COS(($B70))+Inputs!$B$69*SIN(($B70)))-Inputs!$B$5)*(E70-Inputs!$B$5)+((Inputs!$C$69*SIN(($B70))-Inputs!$B$69*COS(($B70)))-Inputs!$B$6)*(F70-Inputs!$B$6))/G70)&lt;0,((((Inputs!$C$69*COS(($B70))+Inputs!$B$69*SIN(($B70)))-Inputs!$B$5)*(E70-Inputs!$B$5)+((Inputs!$C$69*SIN(($B70))-Inputs!$B$69*COS(($B70)))-Inputs!$B$6)*(F70-Inputs!$B$6))/G70)&gt;G70-Inputs!$B$40),999,(ABS((E70-Inputs!$B$5)*((Inputs!$C$69*SIN(($B70))-Inputs!$B$69*COS(($B70)))-Inputs!$B$6)-(F70-Inputs!$B$6)*((Inputs!$C$69*COS(($B70))+Inputs!$B$69*SIN(($B70)))-Inputs!$B$5))/G70)-IF(((((Inputs!$C$69*COS(($B70))+Inputs!$B$69*SIN(($B70)))-Inputs!$B$5)*(E70-Inputs!$B$5)+((Inputs!$C$69*SIN(($B70))-Inputs!$B$69*COS(($B70)))-Inputs!$B$6)*(F70-Inputs!$B$6))/G70)&lt;$B$16,$B$7/2,$B$8/2)-Inputs!$B$39),IF(OR(Inputs!$C$70=0,((((Inputs!$C$70*COS(($B70))+Inputs!$B$70*SIN(($B70)))-Inputs!$B$5)*(E70-Inputs!$B$5)+((Inputs!$C$70*SIN(($B70))-Inputs!$B$70*COS(($B70)))-Inputs!$B$6)*(F70-Inputs!$B$6))/G70)&lt;0,((((Inputs!$C$70*COS(($B70))+Inputs!$B$70*SIN(($B70)))-Inputs!$B$5)*(E70-Inputs!$B$5)+((Inputs!$C$70*SIN(($B70))-Inputs!$B$70*COS(($B70)))-Inputs!$B$6)*(F70-Inputs!$B$6))/G70)&gt;G70-Inputs!$B$40),999,(ABS((E70-Inputs!$B$5)*((Inputs!$C$70*SIN(($B70))-Inputs!$B$70*COS(($B70)))-Inputs!$B$6)-(F70-Inputs!$B$6)*((Inputs!$C$70*COS(($B70))+Inputs!$B$70*SIN(($B70)))-Inputs!$B$5))/G70)-IF(((((Inputs!$C$70*COS(($B70))+Inputs!$B$70*SIN(($B70)))-Inputs!$B$5)*(E70-Inputs!$B$5)+((Inputs!$C$70*SIN(($B70))-Inputs!$B$70*COS(($B70)))-Inputs!$B$6)*(F70-Inputs!$B$6))/G70)&lt;$B$16,$B$7/2,$B$8/2)-Inputs!$B$39),IF(OR(Inputs!$C$71=0,((((Inputs!$C$71*COS(($B70))+Inputs!$B$71*SIN(($B70)))-Inputs!$B$5)*(E70-Inputs!$B$5)+((Inputs!$C$71*SIN(($B70))-Inputs!$B$71*COS(($B70)))-Inputs!$B$6)*(F70-Inputs!$B$6))/G70)&lt;0,((((Inputs!$C$71*COS(($B70))+Inputs!$B$71*SIN(($B70)))-Inputs!$B$5)*(E70-Inputs!$B$5)+((Inputs!$C$71*SIN(($B70))-Inputs!$B$71*COS(($B70)))-Inputs!$B$6)*(F70-Inputs!$B$6))/G70)&gt;G70-Inputs!$B$40),999,(ABS((E70-Inputs!$B$5)*((Inputs!$C$71*SIN(($B70))-Inputs!$B$71*COS(($B70)))-Inputs!$B$6)-(F70-Inputs!$B$6)*((Inputs!$C$71*COS(($B70))+Inputs!$B$71*SIN(($B70)))-Inputs!$B$5))/G70)-IF(((((Inputs!$C$71*COS(($B70))+Inputs!$B$71*SIN(($B70)))-Inputs!$B$5)*(E70-Inputs!$B$5)+((Inputs!$C$71*SIN(($B70))-Inputs!$B$71*COS(($B70)))-Inputs!$B$6)*(F70-Inputs!$B$6))/G70)&lt;$B$16,$B$7/2,$B$8/2)-Inputs!$B$39),IF(OR(Inputs!$C$72=0,((((Inputs!$C$72*COS(($B70))+Inputs!$B$72*SIN(($B70)))-Inputs!$B$5)*(E70-Inputs!$B$5)+((Inputs!$C$72*SIN(($B70))-Inputs!$B$72*COS(($B70)))-Inputs!$B$6)*(F70-Inputs!$B$6))/G70)&lt;0,((((Inputs!$C$72*COS(($B70))+Inputs!$B$72*SIN(($B70)))-Inputs!$B$5)*(E70-Inputs!$B$5)+((Inputs!$C$72*SIN(($B70))-Inputs!$B$72*COS(($B70)))-Inputs!$B$6)*(F70-Inputs!$B$6))/G70)&gt;G70-Inputs!$B$40),999,(ABS((E70-Inputs!$B$5)*((Inputs!$C$72*SIN(($B70))-Inputs!$B$72*COS(($B70)))-Inputs!$B$6)-(F70-Inputs!$B$6)*((Inputs!$C$72*COS(($B70))+Inputs!$B$72*SIN(($B70)))-Inputs!$B$5))/G70)-IF(((((Inputs!$C$72*COS(($B70))+Inputs!$B$72*SIN(($B70)))-Inputs!$B$5)*(E70-Inputs!$B$5)+((Inputs!$C$72*SIN(($B70))-Inputs!$B$72*COS(($B70)))-Inputs!$B$6)*(F70-Inputs!$B$6))/G70)&lt;$B$16,$B$7/2,$B$8/2)-Inputs!$B$39))</f>
        <v>33.89125111</v>
      </c>
      <c r="J70" s="76">
        <f>IF(AND(G70&gt;=$B$14,G70&lt;=$B$15,H70&lt;=Inputs!$B$38,I70&gt;=0,$D70=1),1,0)</f>
        <v>1</v>
      </c>
      <c r="K70" s="29">
        <f>Inputs!$B$11*COS((-$B70))-Inputs!$B$7*SIN((-$B70))</f>
        <v>71.68309745</v>
      </c>
      <c r="L70" s="29">
        <f>Inputs!$B$11*SIN((-$B70))+Inputs!$B$7*COS((-$B70))</f>
        <v>-209.8802386</v>
      </c>
      <c r="M70" s="29">
        <f>SQRT((K70-Inputs!$B$5)^2+(L70-Inputs!$B$6)^2)</f>
        <v>357.5229783</v>
      </c>
      <c r="N70" s="29">
        <f>MAX(MAX(Inputs!$B$5,(Inputs!$B$5+(K70-Inputs!$B$5)*MIN(1,$B$16/M70)))+$B$7/2,MAX((Inputs!$B$5+(K70-Inputs!$B$5)*MIN(1,$B$16/M70)),K70)+Inputs!$B$41)</f>
        <v>291.8</v>
      </c>
      <c r="O70" s="29">
        <f>MIN(IF(OR(Inputs!$C$68=0,((((Inputs!$C$68*COS((-$B70))+Inputs!$B$68*SIN((-$B70)))-Inputs!$B$5)*(K70-Inputs!$B$5)+((Inputs!$C$68*SIN((-$B70))-Inputs!$B$68*COS((-$B70)))-Inputs!$B$6)*(L70-Inputs!$B$6))/M70)&lt;0,((((Inputs!$C$68*COS((-$B70))+Inputs!$B$68*SIN((-$B70)))-Inputs!$B$5)*(K70-Inputs!$B$5)+((Inputs!$C$68*SIN((-$B70))-Inputs!$B$68*COS((-$B70)))-Inputs!$B$6)*(L70-Inputs!$B$6))/M70)&gt;M70-Inputs!$B$40),999,(ABS((K70-Inputs!$B$5)*((Inputs!$C$68*SIN((-$B70))-Inputs!$B$68*COS((-$B70)))-Inputs!$B$6)-(L70-Inputs!$B$6)*((Inputs!$C$68*COS((-$B70))+Inputs!$B$68*SIN((-$B70)))-Inputs!$B$5))/M70)-IF(((((Inputs!$C$68*COS((-$B70))+Inputs!$B$68*SIN((-$B70)))-Inputs!$B$5)*(K70-Inputs!$B$5)+((Inputs!$C$68*SIN((-$B70))-Inputs!$B$68*COS((-$B70)))-Inputs!$B$6)*(L70-Inputs!$B$6))/M70)&lt;$B$16,$B$7/2,$B$8/2)-Inputs!$B$39),IF(OR(Inputs!$C$69=0,((((Inputs!$C$69*COS((-$B70))+Inputs!$B$69*SIN((-$B70)))-Inputs!$B$5)*(K70-Inputs!$B$5)+((Inputs!$C$69*SIN((-$B70))-Inputs!$B$69*COS((-$B70)))-Inputs!$B$6)*(L70-Inputs!$B$6))/M70)&lt;0,((((Inputs!$C$69*COS((-$B70))+Inputs!$B$69*SIN((-$B70)))-Inputs!$B$5)*(K70-Inputs!$B$5)+((Inputs!$C$69*SIN((-$B70))-Inputs!$B$69*COS((-$B70)))-Inputs!$B$6)*(L70-Inputs!$B$6))/M70)&gt;M70-Inputs!$B$40),999,(ABS((K70-Inputs!$B$5)*((Inputs!$C$69*SIN((-$B70))-Inputs!$B$69*COS((-$B70)))-Inputs!$B$6)-(L70-Inputs!$B$6)*((Inputs!$C$69*COS((-$B70))+Inputs!$B$69*SIN((-$B70)))-Inputs!$B$5))/M70)-IF(((((Inputs!$C$69*COS((-$B70))+Inputs!$B$69*SIN((-$B70)))-Inputs!$B$5)*(K70-Inputs!$B$5)+((Inputs!$C$69*SIN((-$B70))-Inputs!$B$69*COS((-$B70)))-Inputs!$B$6)*(L70-Inputs!$B$6))/M70)&lt;$B$16,$B$7/2,$B$8/2)-Inputs!$B$39),IF(OR(Inputs!$C$70=0,((((Inputs!$C$70*COS((-$B70))+Inputs!$B$70*SIN((-$B70)))-Inputs!$B$5)*(K70-Inputs!$B$5)+((Inputs!$C$70*SIN((-$B70))-Inputs!$B$70*COS((-$B70)))-Inputs!$B$6)*(L70-Inputs!$B$6))/M70)&lt;0,((((Inputs!$C$70*COS((-$B70))+Inputs!$B$70*SIN((-$B70)))-Inputs!$B$5)*(K70-Inputs!$B$5)+((Inputs!$C$70*SIN((-$B70))-Inputs!$B$70*COS((-$B70)))-Inputs!$B$6)*(L70-Inputs!$B$6))/M70)&gt;M70-Inputs!$B$40),999,(ABS((K70-Inputs!$B$5)*((Inputs!$C$70*SIN((-$B70))-Inputs!$B$70*COS((-$B70)))-Inputs!$B$6)-(L70-Inputs!$B$6)*((Inputs!$C$70*COS((-$B70))+Inputs!$B$70*SIN((-$B70)))-Inputs!$B$5))/M70)-IF(((((Inputs!$C$70*COS((-$B70))+Inputs!$B$70*SIN((-$B70)))-Inputs!$B$5)*(K70-Inputs!$B$5)+((Inputs!$C$70*SIN((-$B70))-Inputs!$B$70*COS((-$B70)))-Inputs!$B$6)*(L70-Inputs!$B$6))/M70)&lt;$B$16,$B$7/2,$B$8/2)-Inputs!$B$39),IF(OR(Inputs!$C$71=0,((((Inputs!$C$71*COS((-$B70))+Inputs!$B$71*SIN((-$B70)))-Inputs!$B$5)*(K70-Inputs!$B$5)+((Inputs!$C$71*SIN((-$B70))-Inputs!$B$71*COS((-$B70)))-Inputs!$B$6)*(L70-Inputs!$B$6))/M70)&lt;0,((((Inputs!$C$71*COS((-$B70))+Inputs!$B$71*SIN((-$B70)))-Inputs!$B$5)*(K70-Inputs!$B$5)+((Inputs!$C$71*SIN((-$B70))-Inputs!$B$71*COS((-$B70)))-Inputs!$B$6)*(L70-Inputs!$B$6))/M70)&gt;M70-Inputs!$B$40),999,(ABS((K70-Inputs!$B$5)*((Inputs!$C$71*SIN((-$B70))-Inputs!$B$71*COS((-$B70)))-Inputs!$B$6)-(L70-Inputs!$B$6)*((Inputs!$C$71*COS((-$B70))+Inputs!$B$71*SIN((-$B70)))-Inputs!$B$5))/M70)-IF(((((Inputs!$C$71*COS((-$B70))+Inputs!$B$71*SIN((-$B70)))-Inputs!$B$5)*(K70-Inputs!$B$5)+((Inputs!$C$71*SIN((-$B70))-Inputs!$B$71*COS((-$B70)))-Inputs!$B$6)*(L70-Inputs!$B$6))/M70)&lt;$B$16,$B$7/2,$B$8/2)-Inputs!$B$39),IF(OR(Inputs!$C$72=0,((((Inputs!$C$72*COS((-$B70))+Inputs!$B$72*SIN((-$B70)))-Inputs!$B$5)*(K70-Inputs!$B$5)+((Inputs!$C$72*SIN((-$B70))-Inputs!$B$72*COS((-$B70)))-Inputs!$B$6)*(L70-Inputs!$B$6))/M70)&lt;0,((((Inputs!$C$72*COS((-$B70))+Inputs!$B$72*SIN((-$B70)))-Inputs!$B$5)*(K70-Inputs!$B$5)+((Inputs!$C$72*SIN((-$B70))-Inputs!$B$72*COS((-$B70)))-Inputs!$B$6)*(L70-Inputs!$B$6))/M70)&gt;M70-Inputs!$B$40),999,(ABS((K70-Inputs!$B$5)*((Inputs!$C$72*SIN((-$B70))-Inputs!$B$72*COS((-$B70)))-Inputs!$B$6)-(L70-Inputs!$B$6)*((Inputs!$C$72*COS((-$B70))+Inputs!$B$72*SIN((-$B70)))-Inputs!$B$5))/M70)-IF(((((Inputs!$C$72*COS((-$B70))+Inputs!$B$72*SIN((-$B70)))-Inputs!$B$5)*(K70-Inputs!$B$5)+((Inputs!$C$72*SIN((-$B70))-Inputs!$B$72*COS((-$B70)))-Inputs!$B$6)*(L70-Inputs!$B$6))/M70)&lt;$B$16,$B$7/2,$B$8/2)-Inputs!$B$39))</f>
        <v>16.67358638</v>
      </c>
      <c r="P70" s="76">
        <f>IF(AND(M70&gt;=$B$14,M70&lt;=$B$15,N70&lt;=Inputs!$B$38,O70&gt;=0,$D70=1),1,0)</f>
        <v>1</v>
      </c>
    </row>
    <row r="71" ht="15.75" customHeight="1">
      <c r="A71" s="23">
        <v>7.0</v>
      </c>
      <c r="B71" s="40">
        <f t="shared" si="4"/>
        <v>0.1221730476</v>
      </c>
      <c r="C71" s="29">
        <f>MAX(Inputs!$C$68*COS($B71)+Inputs!$B$68*ABS(SIN($B71)),Inputs!$C$69*COS($B71)+Inputs!$B$69*ABS(SIN($B71)),Inputs!$C$70*COS($B71)+Inputs!$B$70*ABS(SIN($B71)),Inputs!$C$71*COS($B71)+Inputs!$B$71*ABS(SIN($B71)),Inputs!$C$72*COS($B71)+Inputs!$B$72*ABS(SIN($B71)))</f>
        <v>126.9977721</v>
      </c>
      <c r="D71" s="71">
        <f>IF(C71&lt;=Inputs!$B$38,1,0)</f>
        <v>1</v>
      </c>
      <c r="E71" s="29">
        <f>Inputs!$B$11*COS(($B71))-Inputs!$B$7*SIN(($B71))</f>
        <v>119.51438</v>
      </c>
      <c r="F71" s="29">
        <f>Inputs!$B$11*SIN(($B71))+Inputs!$B$7*COS(($B71))</f>
        <v>-186.8274444</v>
      </c>
      <c r="G71" s="29">
        <f>SQRT((E71-Inputs!$B$5)^2+(F71-Inputs!$B$6)^2)</f>
        <v>315.1134397</v>
      </c>
      <c r="H71" s="29">
        <f>MAX(MAX(Inputs!$B$5,(Inputs!$B$5+(E71-Inputs!$B$5)*MIN(1,$B$16/G71)))+$B$7/2,MAX((Inputs!$B$5+(E71-Inputs!$B$5)*MIN(1,$B$16/G71)),E71)+Inputs!$B$41)</f>
        <v>291.8</v>
      </c>
      <c r="I71" s="29">
        <f>MIN(IF(OR(Inputs!$C$68=0,((((Inputs!$C$68*COS(($B71))+Inputs!$B$68*SIN(($B71)))-Inputs!$B$5)*(E71-Inputs!$B$5)+((Inputs!$C$68*SIN(($B71))-Inputs!$B$68*COS(($B71)))-Inputs!$B$6)*(F71-Inputs!$B$6))/G71)&lt;0,((((Inputs!$C$68*COS(($B71))+Inputs!$B$68*SIN(($B71)))-Inputs!$B$5)*(E71-Inputs!$B$5)+((Inputs!$C$68*SIN(($B71))-Inputs!$B$68*COS(($B71)))-Inputs!$B$6)*(F71-Inputs!$B$6))/G71)&gt;G71-Inputs!$B$40),999,(ABS((E71-Inputs!$B$5)*((Inputs!$C$68*SIN(($B71))-Inputs!$B$68*COS(($B71)))-Inputs!$B$6)-(F71-Inputs!$B$6)*((Inputs!$C$68*COS(($B71))+Inputs!$B$68*SIN(($B71)))-Inputs!$B$5))/G71)-IF(((((Inputs!$C$68*COS(($B71))+Inputs!$B$68*SIN(($B71)))-Inputs!$B$5)*(E71-Inputs!$B$5)+((Inputs!$C$68*SIN(($B71))-Inputs!$B$68*COS(($B71)))-Inputs!$B$6)*(F71-Inputs!$B$6))/G71)&lt;$B$16,$B$7/2,$B$8/2)-Inputs!$B$39),IF(OR(Inputs!$C$69=0,((((Inputs!$C$69*COS(($B71))+Inputs!$B$69*SIN(($B71)))-Inputs!$B$5)*(E71-Inputs!$B$5)+((Inputs!$C$69*SIN(($B71))-Inputs!$B$69*COS(($B71)))-Inputs!$B$6)*(F71-Inputs!$B$6))/G71)&lt;0,((((Inputs!$C$69*COS(($B71))+Inputs!$B$69*SIN(($B71)))-Inputs!$B$5)*(E71-Inputs!$B$5)+((Inputs!$C$69*SIN(($B71))-Inputs!$B$69*COS(($B71)))-Inputs!$B$6)*(F71-Inputs!$B$6))/G71)&gt;G71-Inputs!$B$40),999,(ABS((E71-Inputs!$B$5)*((Inputs!$C$69*SIN(($B71))-Inputs!$B$69*COS(($B71)))-Inputs!$B$6)-(F71-Inputs!$B$6)*((Inputs!$C$69*COS(($B71))+Inputs!$B$69*SIN(($B71)))-Inputs!$B$5))/G71)-IF(((((Inputs!$C$69*COS(($B71))+Inputs!$B$69*SIN(($B71)))-Inputs!$B$5)*(E71-Inputs!$B$5)+((Inputs!$C$69*SIN(($B71))-Inputs!$B$69*COS(($B71)))-Inputs!$B$6)*(F71-Inputs!$B$6))/G71)&lt;$B$16,$B$7/2,$B$8/2)-Inputs!$B$39),IF(OR(Inputs!$C$70=0,((((Inputs!$C$70*COS(($B71))+Inputs!$B$70*SIN(($B71)))-Inputs!$B$5)*(E71-Inputs!$B$5)+((Inputs!$C$70*SIN(($B71))-Inputs!$B$70*COS(($B71)))-Inputs!$B$6)*(F71-Inputs!$B$6))/G71)&lt;0,((((Inputs!$C$70*COS(($B71))+Inputs!$B$70*SIN(($B71)))-Inputs!$B$5)*(E71-Inputs!$B$5)+((Inputs!$C$70*SIN(($B71))-Inputs!$B$70*COS(($B71)))-Inputs!$B$6)*(F71-Inputs!$B$6))/G71)&gt;G71-Inputs!$B$40),999,(ABS((E71-Inputs!$B$5)*((Inputs!$C$70*SIN(($B71))-Inputs!$B$70*COS(($B71)))-Inputs!$B$6)-(F71-Inputs!$B$6)*((Inputs!$C$70*COS(($B71))+Inputs!$B$70*SIN(($B71)))-Inputs!$B$5))/G71)-IF(((((Inputs!$C$70*COS(($B71))+Inputs!$B$70*SIN(($B71)))-Inputs!$B$5)*(E71-Inputs!$B$5)+((Inputs!$C$70*SIN(($B71))-Inputs!$B$70*COS(($B71)))-Inputs!$B$6)*(F71-Inputs!$B$6))/G71)&lt;$B$16,$B$7/2,$B$8/2)-Inputs!$B$39),IF(OR(Inputs!$C$71=0,((((Inputs!$C$71*COS(($B71))+Inputs!$B$71*SIN(($B71)))-Inputs!$B$5)*(E71-Inputs!$B$5)+((Inputs!$C$71*SIN(($B71))-Inputs!$B$71*COS(($B71)))-Inputs!$B$6)*(F71-Inputs!$B$6))/G71)&lt;0,((((Inputs!$C$71*COS(($B71))+Inputs!$B$71*SIN(($B71)))-Inputs!$B$5)*(E71-Inputs!$B$5)+((Inputs!$C$71*SIN(($B71))-Inputs!$B$71*COS(($B71)))-Inputs!$B$6)*(F71-Inputs!$B$6))/G71)&gt;G71-Inputs!$B$40),999,(ABS((E71-Inputs!$B$5)*((Inputs!$C$71*SIN(($B71))-Inputs!$B$71*COS(($B71)))-Inputs!$B$6)-(F71-Inputs!$B$6)*((Inputs!$C$71*COS(($B71))+Inputs!$B$71*SIN(($B71)))-Inputs!$B$5))/G71)-IF(((((Inputs!$C$71*COS(($B71))+Inputs!$B$71*SIN(($B71)))-Inputs!$B$5)*(E71-Inputs!$B$5)+((Inputs!$C$71*SIN(($B71))-Inputs!$B$71*COS(($B71)))-Inputs!$B$6)*(F71-Inputs!$B$6))/G71)&lt;$B$16,$B$7/2,$B$8/2)-Inputs!$B$39),IF(OR(Inputs!$C$72=0,((((Inputs!$C$72*COS(($B71))+Inputs!$B$72*SIN(($B71)))-Inputs!$B$5)*(E71-Inputs!$B$5)+((Inputs!$C$72*SIN(($B71))-Inputs!$B$72*COS(($B71)))-Inputs!$B$6)*(F71-Inputs!$B$6))/G71)&lt;0,((((Inputs!$C$72*COS(($B71))+Inputs!$B$72*SIN(($B71)))-Inputs!$B$5)*(E71-Inputs!$B$5)+((Inputs!$C$72*SIN(($B71))-Inputs!$B$72*COS(($B71)))-Inputs!$B$6)*(F71-Inputs!$B$6))/G71)&gt;G71-Inputs!$B$40),999,(ABS((E71-Inputs!$B$5)*((Inputs!$C$72*SIN(($B71))-Inputs!$B$72*COS(($B71)))-Inputs!$B$6)-(F71-Inputs!$B$6)*((Inputs!$C$72*COS(($B71))+Inputs!$B$72*SIN(($B71)))-Inputs!$B$5))/G71)-IF(((((Inputs!$C$72*COS(($B71))+Inputs!$B$72*SIN(($B71)))-Inputs!$B$5)*(E71-Inputs!$B$5)+((Inputs!$C$72*SIN(($B71))-Inputs!$B$72*COS(($B71)))-Inputs!$B$6)*(F71-Inputs!$B$6))/G71)&lt;$B$16,$B$7/2,$B$8/2)-Inputs!$B$39))</f>
        <v>34.2033001</v>
      </c>
      <c r="J71" s="76">
        <f>IF(AND(G71&gt;=$B$14,G71&lt;=$B$15,H71&lt;=Inputs!$B$38,I71&gt;=0,$D71=1),1,0)</f>
        <v>1</v>
      </c>
      <c r="K71" s="29">
        <f>Inputs!$B$11*COS((-$B71))-Inputs!$B$7*SIN((-$B71))</f>
        <v>70.76664268</v>
      </c>
      <c r="L71" s="29">
        <f>Inputs!$B$11*SIN((-$B71))+Inputs!$B$7*COS((-$B71))</f>
        <v>-210.1910162</v>
      </c>
      <c r="M71" s="29">
        <f>SQRT((K71-Inputs!$B$5)^2+(L71-Inputs!$B$6)^2)</f>
        <v>358.2500006</v>
      </c>
      <c r="N71" s="29">
        <f>MAX(MAX(Inputs!$B$5,(Inputs!$B$5+(K71-Inputs!$B$5)*MIN(1,$B$16/M71)))+$B$7/2,MAX((Inputs!$B$5+(K71-Inputs!$B$5)*MIN(1,$B$16/M71)),K71)+Inputs!$B$41)</f>
        <v>291.8</v>
      </c>
      <c r="O71" s="29">
        <f>MIN(IF(OR(Inputs!$C$68=0,((((Inputs!$C$68*COS((-$B71))+Inputs!$B$68*SIN((-$B71)))-Inputs!$B$5)*(K71-Inputs!$B$5)+((Inputs!$C$68*SIN((-$B71))-Inputs!$B$68*COS((-$B71)))-Inputs!$B$6)*(L71-Inputs!$B$6))/M71)&lt;0,((((Inputs!$C$68*COS((-$B71))+Inputs!$B$68*SIN((-$B71)))-Inputs!$B$5)*(K71-Inputs!$B$5)+((Inputs!$C$68*SIN((-$B71))-Inputs!$B$68*COS((-$B71)))-Inputs!$B$6)*(L71-Inputs!$B$6))/M71)&gt;M71-Inputs!$B$40),999,(ABS((K71-Inputs!$B$5)*((Inputs!$C$68*SIN((-$B71))-Inputs!$B$68*COS((-$B71)))-Inputs!$B$6)-(L71-Inputs!$B$6)*((Inputs!$C$68*COS((-$B71))+Inputs!$B$68*SIN((-$B71)))-Inputs!$B$5))/M71)-IF(((((Inputs!$C$68*COS((-$B71))+Inputs!$B$68*SIN((-$B71)))-Inputs!$B$5)*(K71-Inputs!$B$5)+((Inputs!$C$68*SIN((-$B71))-Inputs!$B$68*COS((-$B71)))-Inputs!$B$6)*(L71-Inputs!$B$6))/M71)&lt;$B$16,$B$7/2,$B$8/2)-Inputs!$B$39),IF(OR(Inputs!$C$69=0,((((Inputs!$C$69*COS((-$B71))+Inputs!$B$69*SIN((-$B71)))-Inputs!$B$5)*(K71-Inputs!$B$5)+((Inputs!$C$69*SIN((-$B71))-Inputs!$B$69*COS((-$B71)))-Inputs!$B$6)*(L71-Inputs!$B$6))/M71)&lt;0,((((Inputs!$C$69*COS((-$B71))+Inputs!$B$69*SIN((-$B71)))-Inputs!$B$5)*(K71-Inputs!$B$5)+((Inputs!$C$69*SIN((-$B71))-Inputs!$B$69*COS((-$B71)))-Inputs!$B$6)*(L71-Inputs!$B$6))/M71)&gt;M71-Inputs!$B$40),999,(ABS((K71-Inputs!$B$5)*((Inputs!$C$69*SIN((-$B71))-Inputs!$B$69*COS((-$B71)))-Inputs!$B$6)-(L71-Inputs!$B$6)*((Inputs!$C$69*COS((-$B71))+Inputs!$B$69*SIN((-$B71)))-Inputs!$B$5))/M71)-IF(((((Inputs!$C$69*COS((-$B71))+Inputs!$B$69*SIN((-$B71)))-Inputs!$B$5)*(K71-Inputs!$B$5)+((Inputs!$C$69*SIN((-$B71))-Inputs!$B$69*COS((-$B71)))-Inputs!$B$6)*(L71-Inputs!$B$6))/M71)&lt;$B$16,$B$7/2,$B$8/2)-Inputs!$B$39),IF(OR(Inputs!$C$70=0,((((Inputs!$C$70*COS((-$B71))+Inputs!$B$70*SIN((-$B71)))-Inputs!$B$5)*(K71-Inputs!$B$5)+((Inputs!$C$70*SIN((-$B71))-Inputs!$B$70*COS((-$B71)))-Inputs!$B$6)*(L71-Inputs!$B$6))/M71)&lt;0,((((Inputs!$C$70*COS((-$B71))+Inputs!$B$70*SIN((-$B71)))-Inputs!$B$5)*(K71-Inputs!$B$5)+((Inputs!$C$70*SIN((-$B71))-Inputs!$B$70*COS((-$B71)))-Inputs!$B$6)*(L71-Inputs!$B$6))/M71)&gt;M71-Inputs!$B$40),999,(ABS((K71-Inputs!$B$5)*((Inputs!$C$70*SIN((-$B71))-Inputs!$B$70*COS((-$B71)))-Inputs!$B$6)-(L71-Inputs!$B$6)*((Inputs!$C$70*COS((-$B71))+Inputs!$B$70*SIN((-$B71)))-Inputs!$B$5))/M71)-IF(((((Inputs!$C$70*COS((-$B71))+Inputs!$B$70*SIN((-$B71)))-Inputs!$B$5)*(K71-Inputs!$B$5)+((Inputs!$C$70*SIN((-$B71))-Inputs!$B$70*COS((-$B71)))-Inputs!$B$6)*(L71-Inputs!$B$6))/M71)&lt;$B$16,$B$7/2,$B$8/2)-Inputs!$B$39),IF(OR(Inputs!$C$71=0,((((Inputs!$C$71*COS((-$B71))+Inputs!$B$71*SIN((-$B71)))-Inputs!$B$5)*(K71-Inputs!$B$5)+((Inputs!$C$71*SIN((-$B71))-Inputs!$B$71*COS((-$B71)))-Inputs!$B$6)*(L71-Inputs!$B$6))/M71)&lt;0,((((Inputs!$C$71*COS((-$B71))+Inputs!$B$71*SIN((-$B71)))-Inputs!$B$5)*(K71-Inputs!$B$5)+((Inputs!$C$71*SIN((-$B71))-Inputs!$B$71*COS((-$B71)))-Inputs!$B$6)*(L71-Inputs!$B$6))/M71)&gt;M71-Inputs!$B$40),999,(ABS((K71-Inputs!$B$5)*((Inputs!$C$71*SIN((-$B71))-Inputs!$B$71*COS((-$B71)))-Inputs!$B$6)-(L71-Inputs!$B$6)*((Inputs!$C$71*COS((-$B71))+Inputs!$B$71*SIN((-$B71)))-Inputs!$B$5))/M71)-IF(((((Inputs!$C$71*COS((-$B71))+Inputs!$B$71*SIN((-$B71)))-Inputs!$B$5)*(K71-Inputs!$B$5)+((Inputs!$C$71*SIN((-$B71))-Inputs!$B$71*COS((-$B71)))-Inputs!$B$6)*(L71-Inputs!$B$6))/M71)&lt;$B$16,$B$7/2,$B$8/2)-Inputs!$B$39),IF(OR(Inputs!$C$72=0,((((Inputs!$C$72*COS((-$B71))+Inputs!$B$72*SIN((-$B71)))-Inputs!$B$5)*(K71-Inputs!$B$5)+((Inputs!$C$72*SIN((-$B71))-Inputs!$B$72*COS((-$B71)))-Inputs!$B$6)*(L71-Inputs!$B$6))/M71)&lt;0,((((Inputs!$C$72*COS((-$B71))+Inputs!$B$72*SIN((-$B71)))-Inputs!$B$5)*(K71-Inputs!$B$5)+((Inputs!$C$72*SIN((-$B71))-Inputs!$B$72*COS((-$B71)))-Inputs!$B$6)*(L71-Inputs!$B$6))/M71)&gt;M71-Inputs!$B$40),999,(ABS((K71-Inputs!$B$5)*((Inputs!$C$72*SIN((-$B71))-Inputs!$B$72*COS((-$B71)))-Inputs!$B$6)-(L71-Inputs!$B$6)*((Inputs!$C$72*COS((-$B71))+Inputs!$B$72*SIN((-$B71)))-Inputs!$B$5))/M71)-IF(((((Inputs!$C$72*COS((-$B71))+Inputs!$B$72*SIN((-$B71)))-Inputs!$B$5)*(K71-Inputs!$B$5)+((Inputs!$C$72*SIN((-$B71))-Inputs!$B$72*COS((-$B71)))-Inputs!$B$6)*(L71-Inputs!$B$6))/M71)&lt;$B$16,$B$7/2,$B$8/2)-Inputs!$B$39))</f>
        <v>16.34852933</v>
      </c>
      <c r="P71" s="76">
        <f>IF(AND(M71&gt;=$B$14,M71&lt;=$B$15,N71&lt;=Inputs!$B$38,O71&gt;=0,$D71=1),1,0)</f>
        <v>1</v>
      </c>
    </row>
    <row r="72" ht="15.75" customHeight="1">
      <c r="A72" s="23">
        <v>7.25</v>
      </c>
      <c r="B72" s="40">
        <f t="shared" si="4"/>
        <v>0.1265363708</v>
      </c>
      <c r="C72" s="29">
        <f>MAX(Inputs!$C$68*COS($B72)+Inputs!$B$68*ABS(SIN($B72)),Inputs!$C$69*COS($B72)+Inputs!$B$69*ABS(SIN($B72)),Inputs!$C$70*COS($B72)+Inputs!$B$70*ABS(SIN($B72)),Inputs!$C$71*COS($B72)+Inputs!$B$71*ABS(SIN($B72)),Inputs!$C$72*COS($B72)+Inputs!$B$72*ABS(SIN($B72)))</f>
        <v>128.6811436</v>
      </c>
      <c r="D72" s="71">
        <f>IF(C72&lt;=Inputs!$B$38,1,0)</f>
        <v>1</v>
      </c>
      <c r="E72" s="29">
        <f>Inputs!$B$11*COS(($B72))-Inputs!$B$7*SIN(($B72))</f>
        <v>120.3284283</v>
      </c>
      <c r="F72" s="29">
        <f>Inputs!$B$11*SIN(($B72))+Inputs!$B$7*COS(($B72))</f>
        <v>-186.3041877</v>
      </c>
      <c r="G72" s="29">
        <f>SQRT((E72-Inputs!$B$5)^2+(F72-Inputs!$B$6)^2)</f>
        <v>314.3005002</v>
      </c>
      <c r="H72" s="29">
        <f>MAX(MAX(Inputs!$B$5,(Inputs!$B$5+(E72-Inputs!$B$5)*MIN(1,$B$16/G72)))+$B$7/2,MAX((Inputs!$B$5+(E72-Inputs!$B$5)*MIN(1,$B$16/G72)),E72)+Inputs!$B$41)</f>
        <v>291.8</v>
      </c>
      <c r="I72" s="29">
        <f>MIN(IF(OR(Inputs!$C$68=0,((((Inputs!$C$68*COS(($B72))+Inputs!$B$68*SIN(($B72)))-Inputs!$B$5)*(E72-Inputs!$B$5)+((Inputs!$C$68*SIN(($B72))-Inputs!$B$68*COS(($B72)))-Inputs!$B$6)*(F72-Inputs!$B$6))/G72)&lt;0,((((Inputs!$C$68*COS(($B72))+Inputs!$B$68*SIN(($B72)))-Inputs!$B$5)*(E72-Inputs!$B$5)+((Inputs!$C$68*SIN(($B72))-Inputs!$B$68*COS(($B72)))-Inputs!$B$6)*(F72-Inputs!$B$6))/G72)&gt;G72-Inputs!$B$40),999,(ABS((E72-Inputs!$B$5)*((Inputs!$C$68*SIN(($B72))-Inputs!$B$68*COS(($B72)))-Inputs!$B$6)-(F72-Inputs!$B$6)*((Inputs!$C$68*COS(($B72))+Inputs!$B$68*SIN(($B72)))-Inputs!$B$5))/G72)-IF(((((Inputs!$C$68*COS(($B72))+Inputs!$B$68*SIN(($B72)))-Inputs!$B$5)*(E72-Inputs!$B$5)+((Inputs!$C$68*SIN(($B72))-Inputs!$B$68*COS(($B72)))-Inputs!$B$6)*(F72-Inputs!$B$6))/G72)&lt;$B$16,$B$7/2,$B$8/2)-Inputs!$B$39),IF(OR(Inputs!$C$69=0,((((Inputs!$C$69*COS(($B72))+Inputs!$B$69*SIN(($B72)))-Inputs!$B$5)*(E72-Inputs!$B$5)+((Inputs!$C$69*SIN(($B72))-Inputs!$B$69*COS(($B72)))-Inputs!$B$6)*(F72-Inputs!$B$6))/G72)&lt;0,((((Inputs!$C$69*COS(($B72))+Inputs!$B$69*SIN(($B72)))-Inputs!$B$5)*(E72-Inputs!$B$5)+((Inputs!$C$69*SIN(($B72))-Inputs!$B$69*COS(($B72)))-Inputs!$B$6)*(F72-Inputs!$B$6))/G72)&gt;G72-Inputs!$B$40),999,(ABS((E72-Inputs!$B$5)*((Inputs!$C$69*SIN(($B72))-Inputs!$B$69*COS(($B72)))-Inputs!$B$6)-(F72-Inputs!$B$6)*((Inputs!$C$69*COS(($B72))+Inputs!$B$69*SIN(($B72)))-Inputs!$B$5))/G72)-IF(((((Inputs!$C$69*COS(($B72))+Inputs!$B$69*SIN(($B72)))-Inputs!$B$5)*(E72-Inputs!$B$5)+((Inputs!$C$69*SIN(($B72))-Inputs!$B$69*COS(($B72)))-Inputs!$B$6)*(F72-Inputs!$B$6))/G72)&lt;$B$16,$B$7/2,$B$8/2)-Inputs!$B$39),IF(OR(Inputs!$C$70=0,((((Inputs!$C$70*COS(($B72))+Inputs!$B$70*SIN(($B72)))-Inputs!$B$5)*(E72-Inputs!$B$5)+((Inputs!$C$70*SIN(($B72))-Inputs!$B$70*COS(($B72)))-Inputs!$B$6)*(F72-Inputs!$B$6))/G72)&lt;0,((((Inputs!$C$70*COS(($B72))+Inputs!$B$70*SIN(($B72)))-Inputs!$B$5)*(E72-Inputs!$B$5)+((Inputs!$C$70*SIN(($B72))-Inputs!$B$70*COS(($B72)))-Inputs!$B$6)*(F72-Inputs!$B$6))/G72)&gt;G72-Inputs!$B$40),999,(ABS((E72-Inputs!$B$5)*((Inputs!$C$70*SIN(($B72))-Inputs!$B$70*COS(($B72)))-Inputs!$B$6)-(F72-Inputs!$B$6)*((Inputs!$C$70*COS(($B72))+Inputs!$B$70*SIN(($B72)))-Inputs!$B$5))/G72)-IF(((((Inputs!$C$70*COS(($B72))+Inputs!$B$70*SIN(($B72)))-Inputs!$B$5)*(E72-Inputs!$B$5)+((Inputs!$C$70*SIN(($B72))-Inputs!$B$70*COS(($B72)))-Inputs!$B$6)*(F72-Inputs!$B$6))/G72)&lt;$B$16,$B$7/2,$B$8/2)-Inputs!$B$39),IF(OR(Inputs!$C$71=0,((((Inputs!$C$71*COS(($B72))+Inputs!$B$71*SIN(($B72)))-Inputs!$B$5)*(E72-Inputs!$B$5)+((Inputs!$C$71*SIN(($B72))-Inputs!$B$71*COS(($B72)))-Inputs!$B$6)*(F72-Inputs!$B$6))/G72)&lt;0,((((Inputs!$C$71*COS(($B72))+Inputs!$B$71*SIN(($B72)))-Inputs!$B$5)*(E72-Inputs!$B$5)+((Inputs!$C$71*SIN(($B72))-Inputs!$B$71*COS(($B72)))-Inputs!$B$6)*(F72-Inputs!$B$6))/G72)&gt;G72-Inputs!$B$40),999,(ABS((E72-Inputs!$B$5)*((Inputs!$C$71*SIN(($B72))-Inputs!$B$71*COS(($B72)))-Inputs!$B$6)-(F72-Inputs!$B$6)*((Inputs!$C$71*COS(($B72))+Inputs!$B$71*SIN(($B72)))-Inputs!$B$5))/G72)-IF(((((Inputs!$C$71*COS(($B72))+Inputs!$B$71*SIN(($B72)))-Inputs!$B$5)*(E72-Inputs!$B$5)+((Inputs!$C$71*SIN(($B72))-Inputs!$B$71*COS(($B72)))-Inputs!$B$6)*(F72-Inputs!$B$6))/G72)&lt;$B$16,$B$7/2,$B$8/2)-Inputs!$B$39),IF(OR(Inputs!$C$72=0,((((Inputs!$C$72*COS(($B72))+Inputs!$B$72*SIN(($B72)))-Inputs!$B$5)*(E72-Inputs!$B$5)+((Inputs!$C$72*SIN(($B72))-Inputs!$B$72*COS(($B72)))-Inputs!$B$6)*(F72-Inputs!$B$6))/G72)&lt;0,((((Inputs!$C$72*COS(($B72))+Inputs!$B$72*SIN(($B72)))-Inputs!$B$5)*(E72-Inputs!$B$5)+((Inputs!$C$72*SIN(($B72))-Inputs!$B$72*COS(($B72)))-Inputs!$B$6)*(F72-Inputs!$B$6))/G72)&gt;G72-Inputs!$B$40),999,(ABS((E72-Inputs!$B$5)*((Inputs!$C$72*SIN(($B72))-Inputs!$B$72*COS(($B72)))-Inputs!$B$6)-(F72-Inputs!$B$6)*((Inputs!$C$72*COS(($B72))+Inputs!$B$72*SIN(($B72)))-Inputs!$B$5))/G72)-IF(((((Inputs!$C$72*COS(($B72))+Inputs!$B$72*SIN(($B72)))-Inputs!$B$5)*(E72-Inputs!$B$5)+((Inputs!$C$72*SIN(($B72))-Inputs!$B$72*COS(($B72)))-Inputs!$B$6)*(F72-Inputs!$B$6))/G72)&lt;$B$16,$B$7/2,$B$8/2)-Inputs!$B$39))</f>
        <v>34.5150815</v>
      </c>
      <c r="J72" s="76">
        <f>IF(AND(G72&gt;=$B$14,G72&lt;=$B$15,H72&lt;=Inputs!$B$38,I72&gt;=0,$D72=1),1,0)</f>
        <v>1</v>
      </c>
      <c r="K72" s="29">
        <f>Inputs!$B$11*COS((-$B72))-Inputs!$B$7*SIN((-$B72))</f>
        <v>69.84884062</v>
      </c>
      <c r="L72" s="29">
        <f>Inputs!$B$11*SIN((-$B72))+Inputs!$B$7*COS((-$B72))</f>
        <v>-210.4977921</v>
      </c>
      <c r="M72" s="29">
        <f>SQRT((K72-Inputs!$B$5)^2+(L72-Inputs!$B$6)^2)</f>
        <v>358.975374</v>
      </c>
      <c r="N72" s="29">
        <f>MAX(MAX(Inputs!$B$5,(Inputs!$B$5+(K72-Inputs!$B$5)*MIN(1,$B$16/M72)))+$B$7/2,MAX((Inputs!$B$5+(K72-Inputs!$B$5)*MIN(1,$B$16/M72)),K72)+Inputs!$B$41)</f>
        <v>291.8</v>
      </c>
      <c r="O72" s="29">
        <f>MIN(IF(OR(Inputs!$C$68=0,((((Inputs!$C$68*COS((-$B72))+Inputs!$B$68*SIN((-$B72)))-Inputs!$B$5)*(K72-Inputs!$B$5)+((Inputs!$C$68*SIN((-$B72))-Inputs!$B$68*COS((-$B72)))-Inputs!$B$6)*(L72-Inputs!$B$6))/M72)&lt;0,((((Inputs!$C$68*COS((-$B72))+Inputs!$B$68*SIN((-$B72)))-Inputs!$B$5)*(K72-Inputs!$B$5)+((Inputs!$C$68*SIN((-$B72))-Inputs!$B$68*COS((-$B72)))-Inputs!$B$6)*(L72-Inputs!$B$6))/M72)&gt;M72-Inputs!$B$40),999,(ABS((K72-Inputs!$B$5)*((Inputs!$C$68*SIN((-$B72))-Inputs!$B$68*COS((-$B72)))-Inputs!$B$6)-(L72-Inputs!$B$6)*((Inputs!$C$68*COS((-$B72))+Inputs!$B$68*SIN((-$B72)))-Inputs!$B$5))/M72)-IF(((((Inputs!$C$68*COS((-$B72))+Inputs!$B$68*SIN((-$B72)))-Inputs!$B$5)*(K72-Inputs!$B$5)+((Inputs!$C$68*SIN((-$B72))-Inputs!$B$68*COS((-$B72)))-Inputs!$B$6)*(L72-Inputs!$B$6))/M72)&lt;$B$16,$B$7/2,$B$8/2)-Inputs!$B$39),IF(OR(Inputs!$C$69=0,((((Inputs!$C$69*COS((-$B72))+Inputs!$B$69*SIN((-$B72)))-Inputs!$B$5)*(K72-Inputs!$B$5)+((Inputs!$C$69*SIN((-$B72))-Inputs!$B$69*COS((-$B72)))-Inputs!$B$6)*(L72-Inputs!$B$6))/M72)&lt;0,((((Inputs!$C$69*COS((-$B72))+Inputs!$B$69*SIN((-$B72)))-Inputs!$B$5)*(K72-Inputs!$B$5)+((Inputs!$C$69*SIN((-$B72))-Inputs!$B$69*COS((-$B72)))-Inputs!$B$6)*(L72-Inputs!$B$6))/M72)&gt;M72-Inputs!$B$40),999,(ABS((K72-Inputs!$B$5)*((Inputs!$C$69*SIN((-$B72))-Inputs!$B$69*COS((-$B72)))-Inputs!$B$6)-(L72-Inputs!$B$6)*((Inputs!$C$69*COS((-$B72))+Inputs!$B$69*SIN((-$B72)))-Inputs!$B$5))/M72)-IF(((((Inputs!$C$69*COS((-$B72))+Inputs!$B$69*SIN((-$B72)))-Inputs!$B$5)*(K72-Inputs!$B$5)+((Inputs!$C$69*SIN((-$B72))-Inputs!$B$69*COS((-$B72)))-Inputs!$B$6)*(L72-Inputs!$B$6))/M72)&lt;$B$16,$B$7/2,$B$8/2)-Inputs!$B$39),IF(OR(Inputs!$C$70=0,((((Inputs!$C$70*COS((-$B72))+Inputs!$B$70*SIN((-$B72)))-Inputs!$B$5)*(K72-Inputs!$B$5)+((Inputs!$C$70*SIN((-$B72))-Inputs!$B$70*COS((-$B72)))-Inputs!$B$6)*(L72-Inputs!$B$6))/M72)&lt;0,((((Inputs!$C$70*COS((-$B72))+Inputs!$B$70*SIN((-$B72)))-Inputs!$B$5)*(K72-Inputs!$B$5)+((Inputs!$C$70*SIN((-$B72))-Inputs!$B$70*COS((-$B72)))-Inputs!$B$6)*(L72-Inputs!$B$6))/M72)&gt;M72-Inputs!$B$40),999,(ABS((K72-Inputs!$B$5)*((Inputs!$C$70*SIN((-$B72))-Inputs!$B$70*COS((-$B72)))-Inputs!$B$6)-(L72-Inputs!$B$6)*((Inputs!$C$70*COS((-$B72))+Inputs!$B$70*SIN((-$B72)))-Inputs!$B$5))/M72)-IF(((((Inputs!$C$70*COS((-$B72))+Inputs!$B$70*SIN((-$B72)))-Inputs!$B$5)*(K72-Inputs!$B$5)+((Inputs!$C$70*SIN((-$B72))-Inputs!$B$70*COS((-$B72)))-Inputs!$B$6)*(L72-Inputs!$B$6))/M72)&lt;$B$16,$B$7/2,$B$8/2)-Inputs!$B$39),IF(OR(Inputs!$C$71=0,((((Inputs!$C$71*COS((-$B72))+Inputs!$B$71*SIN((-$B72)))-Inputs!$B$5)*(K72-Inputs!$B$5)+((Inputs!$C$71*SIN((-$B72))-Inputs!$B$71*COS((-$B72)))-Inputs!$B$6)*(L72-Inputs!$B$6))/M72)&lt;0,((((Inputs!$C$71*COS((-$B72))+Inputs!$B$71*SIN((-$B72)))-Inputs!$B$5)*(K72-Inputs!$B$5)+((Inputs!$C$71*SIN((-$B72))-Inputs!$B$71*COS((-$B72)))-Inputs!$B$6)*(L72-Inputs!$B$6))/M72)&gt;M72-Inputs!$B$40),999,(ABS((K72-Inputs!$B$5)*((Inputs!$C$71*SIN((-$B72))-Inputs!$B$71*COS((-$B72)))-Inputs!$B$6)-(L72-Inputs!$B$6)*((Inputs!$C$71*COS((-$B72))+Inputs!$B$71*SIN((-$B72)))-Inputs!$B$5))/M72)-IF(((((Inputs!$C$71*COS((-$B72))+Inputs!$B$71*SIN((-$B72)))-Inputs!$B$5)*(K72-Inputs!$B$5)+((Inputs!$C$71*SIN((-$B72))-Inputs!$B$71*COS((-$B72)))-Inputs!$B$6)*(L72-Inputs!$B$6))/M72)&lt;$B$16,$B$7/2,$B$8/2)-Inputs!$B$39),IF(OR(Inputs!$C$72=0,((((Inputs!$C$72*COS((-$B72))+Inputs!$B$72*SIN((-$B72)))-Inputs!$B$5)*(K72-Inputs!$B$5)+((Inputs!$C$72*SIN((-$B72))-Inputs!$B$72*COS((-$B72)))-Inputs!$B$6)*(L72-Inputs!$B$6))/M72)&lt;0,((((Inputs!$C$72*COS((-$B72))+Inputs!$B$72*SIN((-$B72)))-Inputs!$B$5)*(K72-Inputs!$B$5)+((Inputs!$C$72*SIN((-$B72))-Inputs!$B$72*COS((-$B72)))-Inputs!$B$6)*(L72-Inputs!$B$6))/M72)&gt;M72-Inputs!$B$40),999,(ABS((K72-Inputs!$B$5)*((Inputs!$C$72*SIN((-$B72))-Inputs!$B$72*COS((-$B72)))-Inputs!$B$6)-(L72-Inputs!$B$6)*((Inputs!$C$72*COS((-$B72))+Inputs!$B$72*SIN((-$B72)))-Inputs!$B$5))/M72)-IF(((((Inputs!$C$72*COS((-$B72))+Inputs!$B$72*SIN((-$B72)))-Inputs!$B$5)*(K72-Inputs!$B$5)+((Inputs!$C$72*SIN((-$B72))-Inputs!$B$72*COS((-$B72)))-Inputs!$B$6)*(L72-Inputs!$B$6))/M72)&lt;$B$16,$B$7/2,$B$8/2)-Inputs!$B$39))</f>
        <v>16.02326854</v>
      </c>
      <c r="P72" s="76">
        <f>IF(AND(M72&gt;=$B$14,M72&lt;=$B$15,N72&lt;=Inputs!$B$38,O72&gt;=0,$D72=1),1,0)</f>
        <v>1</v>
      </c>
    </row>
    <row r="73" ht="15.75" customHeight="1">
      <c r="A73" s="23">
        <v>7.5</v>
      </c>
      <c r="B73" s="40">
        <f t="shared" si="4"/>
        <v>0.1308996939</v>
      </c>
      <c r="C73" s="29">
        <f>MAX(Inputs!$C$68*COS($B73)+Inputs!$B$68*ABS(SIN($B73)),Inputs!$C$69*COS($B73)+Inputs!$B$69*ABS(SIN($B73)),Inputs!$C$70*COS($B73)+Inputs!$B$70*ABS(SIN($B73)),Inputs!$C$71*COS($B73)+Inputs!$B$71*ABS(SIN($B73)),Inputs!$C$72*COS($B73)+Inputs!$B$72*ABS(SIN($B73)))</f>
        <v>130.3620653</v>
      </c>
      <c r="D73" s="71">
        <f>IF(C73&lt;=Inputs!$B$38,1,0)</f>
        <v>1</v>
      </c>
      <c r="E73" s="29">
        <f>Inputs!$B$11*COS(($B73))-Inputs!$B$7*SIN(($B73))</f>
        <v>121.1401856</v>
      </c>
      <c r="F73" s="29">
        <f>Inputs!$B$11*SIN(($B73))+Inputs!$B$7*COS(($B73))</f>
        <v>-185.7773841</v>
      </c>
      <c r="G73" s="29">
        <f>SQRT((E73-Inputs!$B$5)^2+(F73-Inputs!$B$6)^2)</f>
        <v>313.4861481</v>
      </c>
      <c r="H73" s="29">
        <f>MAX(MAX(Inputs!$B$5,(Inputs!$B$5+(E73-Inputs!$B$5)*MIN(1,$B$16/G73)))+$B$7/2,MAX((Inputs!$B$5+(E73-Inputs!$B$5)*MIN(1,$B$16/G73)),E73)+Inputs!$B$41)</f>
        <v>291.8</v>
      </c>
      <c r="I73" s="29">
        <f>MIN(IF(OR(Inputs!$C$68=0,((((Inputs!$C$68*COS(($B73))+Inputs!$B$68*SIN(($B73)))-Inputs!$B$5)*(E73-Inputs!$B$5)+((Inputs!$C$68*SIN(($B73))-Inputs!$B$68*COS(($B73)))-Inputs!$B$6)*(F73-Inputs!$B$6))/G73)&lt;0,((((Inputs!$C$68*COS(($B73))+Inputs!$B$68*SIN(($B73)))-Inputs!$B$5)*(E73-Inputs!$B$5)+((Inputs!$C$68*SIN(($B73))-Inputs!$B$68*COS(($B73)))-Inputs!$B$6)*(F73-Inputs!$B$6))/G73)&gt;G73-Inputs!$B$40),999,(ABS((E73-Inputs!$B$5)*((Inputs!$C$68*SIN(($B73))-Inputs!$B$68*COS(($B73)))-Inputs!$B$6)-(F73-Inputs!$B$6)*((Inputs!$C$68*COS(($B73))+Inputs!$B$68*SIN(($B73)))-Inputs!$B$5))/G73)-IF(((((Inputs!$C$68*COS(($B73))+Inputs!$B$68*SIN(($B73)))-Inputs!$B$5)*(E73-Inputs!$B$5)+((Inputs!$C$68*SIN(($B73))-Inputs!$B$68*COS(($B73)))-Inputs!$B$6)*(F73-Inputs!$B$6))/G73)&lt;$B$16,$B$7/2,$B$8/2)-Inputs!$B$39),IF(OR(Inputs!$C$69=0,((((Inputs!$C$69*COS(($B73))+Inputs!$B$69*SIN(($B73)))-Inputs!$B$5)*(E73-Inputs!$B$5)+((Inputs!$C$69*SIN(($B73))-Inputs!$B$69*COS(($B73)))-Inputs!$B$6)*(F73-Inputs!$B$6))/G73)&lt;0,((((Inputs!$C$69*COS(($B73))+Inputs!$B$69*SIN(($B73)))-Inputs!$B$5)*(E73-Inputs!$B$5)+((Inputs!$C$69*SIN(($B73))-Inputs!$B$69*COS(($B73)))-Inputs!$B$6)*(F73-Inputs!$B$6))/G73)&gt;G73-Inputs!$B$40),999,(ABS((E73-Inputs!$B$5)*((Inputs!$C$69*SIN(($B73))-Inputs!$B$69*COS(($B73)))-Inputs!$B$6)-(F73-Inputs!$B$6)*((Inputs!$C$69*COS(($B73))+Inputs!$B$69*SIN(($B73)))-Inputs!$B$5))/G73)-IF(((((Inputs!$C$69*COS(($B73))+Inputs!$B$69*SIN(($B73)))-Inputs!$B$5)*(E73-Inputs!$B$5)+((Inputs!$C$69*SIN(($B73))-Inputs!$B$69*COS(($B73)))-Inputs!$B$6)*(F73-Inputs!$B$6))/G73)&lt;$B$16,$B$7/2,$B$8/2)-Inputs!$B$39),IF(OR(Inputs!$C$70=0,((((Inputs!$C$70*COS(($B73))+Inputs!$B$70*SIN(($B73)))-Inputs!$B$5)*(E73-Inputs!$B$5)+((Inputs!$C$70*SIN(($B73))-Inputs!$B$70*COS(($B73)))-Inputs!$B$6)*(F73-Inputs!$B$6))/G73)&lt;0,((((Inputs!$C$70*COS(($B73))+Inputs!$B$70*SIN(($B73)))-Inputs!$B$5)*(E73-Inputs!$B$5)+((Inputs!$C$70*SIN(($B73))-Inputs!$B$70*COS(($B73)))-Inputs!$B$6)*(F73-Inputs!$B$6))/G73)&gt;G73-Inputs!$B$40),999,(ABS((E73-Inputs!$B$5)*((Inputs!$C$70*SIN(($B73))-Inputs!$B$70*COS(($B73)))-Inputs!$B$6)-(F73-Inputs!$B$6)*((Inputs!$C$70*COS(($B73))+Inputs!$B$70*SIN(($B73)))-Inputs!$B$5))/G73)-IF(((((Inputs!$C$70*COS(($B73))+Inputs!$B$70*SIN(($B73)))-Inputs!$B$5)*(E73-Inputs!$B$5)+((Inputs!$C$70*SIN(($B73))-Inputs!$B$70*COS(($B73)))-Inputs!$B$6)*(F73-Inputs!$B$6))/G73)&lt;$B$16,$B$7/2,$B$8/2)-Inputs!$B$39),IF(OR(Inputs!$C$71=0,((((Inputs!$C$71*COS(($B73))+Inputs!$B$71*SIN(($B73)))-Inputs!$B$5)*(E73-Inputs!$B$5)+((Inputs!$C$71*SIN(($B73))-Inputs!$B$71*COS(($B73)))-Inputs!$B$6)*(F73-Inputs!$B$6))/G73)&lt;0,((((Inputs!$C$71*COS(($B73))+Inputs!$B$71*SIN(($B73)))-Inputs!$B$5)*(E73-Inputs!$B$5)+((Inputs!$C$71*SIN(($B73))-Inputs!$B$71*COS(($B73)))-Inputs!$B$6)*(F73-Inputs!$B$6))/G73)&gt;G73-Inputs!$B$40),999,(ABS((E73-Inputs!$B$5)*((Inputs!$C$71*SIN(($B73))-Inputs!$B$71*COS(($B73)))-Inputs!$B$6)-(F73-Inputs!$B$6)*((Inputs!$C$71*COS(($B73))+Inputs!$B$71*SIN(($B73)))-Inputs!$B$5))/G73)-IF(((((Inputs!$C$71*COS(($B73))+Inputs!$B$71*SIN(($B73)))-Inputs!$B$5)*(E73-Inputs!$B$5)+((Inputs!$C$71*SIN(($B73))-Inputs!$B$71*COS(($B73)))-Inputs!$B$6)*(F73-Inputs!$B$6))/G73)&lt;$B$16,$B$7/2,$B$8/2)-Inputs!$B$39),IF(OR(Inputs!$C$72=0,((((Inputs!$C$72*COS(($B73))+Inputs!$B$72*SIN(($B73)))-Inputs!$B$5)*(E73-Inputs!$B$5)+((Inputs!$C$72*SIN(($B73))-Inputs!$B$72*COS(($B73)))-Inputs!$B$6)*(F73-Inputs!$B$6))/G73)&lt;0,((((Inputs!$C$72*COS(($B73))+Inputs!$B$72*SIN(($B73)))-Inputs!$B$5)*(E73-Inputs!$B$5)+((Inputs!$C$72*SIN(($B73))-Inputs!$B$72*COS(($B73)))-Inputs!$B$6)*(F73-Inputs!$B$6))/G73)&gt;G73-Inputs!$B$40),999,(ABS((E73-Inputs!$B$5)*((Inputs!$C$72*SIN(($B73))-Inputs!$B$72*COS(($B73)))-Inputs!$B$6)-(F73-Inputs!$B$6)*((Inputs!$C$72*COS(($B73))+Inputs!$B$72*SIN(($B73)))-Inputs!$B$5))/G73)-IF(((((Inputs!$C$72*COS(($B73))+Inputs!$B$72*SIN(($B73)))-Inputs!$B$5)*(E73-Inputs!$B$5)+((Inputs!$C$72*SIN(($B73))-Inputs!$B$72*COS(($B73)))-Inputs!$B$6)*(F73-Inputs!$B$6))/G73)&lt;$B$16,$B$7/2,$B$8/2)-Inputs!$B$39))</f>
        <v>34.82659428</v>
      </c>
      <c r="J73" s="76">
        <f>IF(AND(G73&gt;=$B$14,G73&lt;=$B$15,H73&lt;=Inputs!$B$38,I73&gt;=0,$D73=1),1,0)</f>
        <v>1</v>
      </c>
      <c r="K73" s="29">
        <f>Inputs!$B$11*COS((-$B73))-Inputs!$B$7*SIN((-$B73))</f>
        <v>68.92970874</v>
      </c>
      <c r="L73" s="29">
        <f>Inputs!$B$11*SIN((-$B73))+Inputs!$B$7*COS((-$B73))</f>
        <v>-210.8005604</v>
      </c>
      <c r="M73" s="29">
        <f>SQRT((K73-Inputs!$B$5)^2+(L73-Inputs!$B$6)^2)</f>
        <v>359.6990947</v>
      </c>
      <c r="N73" s="29">
        <f>MAX(MAX(Inputs!$B$5,(Inputs!$B$5+(K73-Inputs!$B$5)*MIN(1,$B$16/M73)))+$B$7/2,MAX((Inputs!$B$5+(K73-Inputs!$B$5)*MIN(1,$B$16/M73)),K73)+Inputs!$B$41)</f>
        <v>291.8</v>
      </c>
      <c r="O73" s="29">
        <f>MIN(IF(OR(Inputs!$C$68=0,((((Inputs!$C$68*COS((-$B73))+Inputs!$B$68*SIN((-$B73)))-Inputs!$B$5)*(K73-Inputs!$B$5)+((Inputs!$C$68*SIN((-$B73))-Inputs!$B$68*COS((-$B73)))-Inputs!$B$6)*(L73-Inputs!$B$6))/M73)&lt;0,((((Inputs!$C$68*COS((-$B73))+Inputs!$B$68*SIN((-$B73)))-Inputs!$B$5)*(K73-Inputs!$B$5)+((Inputs!$C$68*SIN((-$B73))-Inputs!$B$68*COS((-$B73)))-Inputs!$B$6)*(L73-Inputs!$B$6))/M73)&gt;M73-Inputs!$B$40),999,(ABS((K73-Inputs!$B$5)*((Inputs!$C$68*SIN((-$B73))-Inputs!$B$68*COS((-$B73)))-Inputs!$B$6)-(L73-Inputs!$B$6)*((Inputs!$C$68*COS((-$B73))+Inputs!$B$68*SIN((-$B73)))-Inputs!$B$5))/M73)-IF(((((Inputs!$C$68*COS((-$B73))+Inputs!$B$68*SIN((-$B73)))-Inputs!$B$5)*(K73-Inputs!$B$5)+((Inputs!$C$68*SIN((-$B73))-Inputs!$B$68*COS((-$B73)))-Inputs!$B$6)*(L73-Inputs!$B$6))/M73)&lt;$B$16,$B$7/2,$B$8/2)-Inputs!$B$39),IF(OR(Inputs!$C$69=0,((((Inputs!$C$69*COS((-$B73))+Inputs!$B$69*SIN((-$B73)))-Inputs!$B$5)*(K73-Inputs!$B$5)+((Inputs!$C$69*SIN((-$B73))-Inputs!$B$69*COS((-$B73)))-Inputs!$B$6)*(L73-Inputs!$B$6))/M73)&lt;0,((((Inputs!$C$69*COS((-$B73))+Inputs!$B$69*SIN((-$B73)))-Inputs!$B$5)*(K73-Inputs!$B$5)+((Inputs!$C$69*SIN((-$B73))-Inputs!$B$69*COS((-$B73)))-Inputs!$B$6)*(L73-Inputs!$B$6))/M73)&gt;M73-Inputs!$B$40),999,(ABS((K73-Inputs!$B$5)*((Inputs!$C$69*SIN((-$B73))-Inputs!$B$69*COS((-$B73)))-Inputs!$B$6)-(L73-Inputs!$B$6)*((Inputs!$C$69*COS((-$B73))+Inputs!$B$69*SIN((-$B73)))-Inputs!$B$5))/M73)-IF(((((Inputs!$C$69*COS((-$B73))+Inputs!$B$69*SIN((-$B73)))-Inputs!$B$5)*(K73-Inputs!$B$5)+((Inputs!$C$69*SIN((-$B73))-Inputs!$B$69*COS((-$B73)))-Inputs!$B$6)*(L73-Inputs!$B$6))/M73)&lt;$B$16,$B$7/2,$B$8/2)-Inputs!$B$39),IF(OR(Inputs!$C$70=0,((((Inputs!$C$70*COS((-$B73))+Inputs!$B$70*SIN((-$B73)))-Inputs!$B$5)*(K73-Inputs!$B$5)+((Inputs!$C$70*SIN((-$B73))-Inputs!$B$70*COS((-$B73)))-Inputs!$B$6)*(L73-Inputs!$B$6))/M73)&lt;0,((((Inputs!$C$70*COS((-$B73))+Inputs!$B$70*SIN((-$B73)))-Inputs!$B$5)*(K73-Inputs!$B$5)+((Inputs!$C$70*SIN((-$B73))-Inputs!$B$70*COS((-$B73)))-Inputs!$B$6)*(L73-Inputs!$B$6))/M73)&gt;M73-Inputs!$B$40),999,(ABS((K73-Inputs!$B$5)*((Inputs!$C$70*SIN((-$B73))-Inputs!$B$70*COS((-$B73)))-Inputs!$B$6)-(L73-Inputs!$B$6)*((Inputs!$C$70*COS((-$B73))+Inputs!$B$70*SIN((-$B73)))-Inputs!$B$5))/M73)-IF(((((Inputs!$C$70*COS((-$B73))+Inputs!$B$70*SIN((-$B73)))-Inputs!$B$5)*(K73-Inputs!$B$5)+((Inputs!$C$70*SIN((-$B73))-Inputs!$B$70*COS((-$B73)))-Inputs!$B$6)*(L73-Inputs!$B$6))/M73)&lt;$B$16,$B$7/2,$B$8/2)-Inputs!$B$39),IF(OR(Inputs!$C$71=0,((((Inputs!$C$71*COS((-$B73))+Inputs!$B$71*SIN((-$B73)))-Inputs!$B$5)*(K73-Inputs!$B$5)+((Inputs!$C$71*SIN((-$B73))-Inputs!$B$71*COS((-$B73)))-Inputs!$B$6)*(L73-Inputs!$B$6))/M73)&lt;0,((((Inputs!$C$71*COS((-$B73))+Inputs!$B$71*SIN((-$B73)))-Inputs!$B$5)*(K73-Inputs!$B$5)+((Inputs!$C$71*SIN((-$B73))-Inputs!$B$71*COS((-$B73)))-Inputs!$B$6)*(L73-Inputs!$B$6))/M73)&gt;M73-Inputs!$B$40),999,(ABS((K73-Inputs!$B$5)*((Inputs!$C$71*SIN((-$B73))-Inputs!$B$71*COS((-$B73)))-Inputs!$B$6)-(L73-Inputs!$B$6)*((Inputs!$C$71*COS((-$B73))+Inputs!$B$71*SIN((-$B73)))-Inputs!$B$5))/M73)-IF(((((Inputs!$C$71*COS((-$B73))+Inputs!$B$71*SIN((-$B73)))-Inputs!$B$5)*(K73-Inputs!$B$5)+((Inputs!$C$71*SIN((-$B73))-Inputs!$B$71*COS((-$B73)))-Inputs!$B$6)*(L73-Inputs!$B$6))/M73)&lt;$B$16,$B$7/2,$B$8/2)-Inputs!$B$39),IF(OR(Inputs!$C$72=0,((((Inputs!$C$72*COS((-$B73))+Inputs!$B$72*SIN((-$B73)))-Inputs!$B$5)*(K73-Inputs!$B$5)+((Inputs!$C$72*SIN((-$B73))-Inputs!$B$72*COS((-$B73)))-Inputs!$B$6)*(L73-Inputs!$B$6))/M73)&lt;0,((((Inputs!$C$72*COS((-$B73))+Inputs!$B$72*SIN((-$B73)))-Inputs!$B$5)*(K73-Inputs!$B$5)+((Inputs!$C$72*SIN((-$B73))-Inputs!$B$72*COS((-$B73)))-Inputs!$B$6)*(L73-Inputs!$B$6))/M73)&gt;M73-Inputs!$B$40),999,(ABS((K73-Inputs!$B$5)*((Inputs!$C$72*SIN((-$B73))-Inputs!$B$72*COS((-$B73)))-Inputs!$B$6)-(L73-Inputs!$B$6)*((Inputs!$C$72*COS((-$B73))+Inputs!$B$72*SIN((-$B73)))-Inputs!$B$5))/M73)-IF(((((Inputs!$C$72*COS((-$B73))+Inputs!$B$72*SIN((-$B73)))-Inputs!$B$5)*(K73-Inputs!$B$5)+((Inputs!$C$72*SIN((-$B73))-Inputs!$B$72*COS((-$B73)))-Inputs!$B$6)*(L73-Inputs!$B$6))/M73)&lt;$B$16,$B$7/2,$B$8/2)-Inputs!$B$39))</f>
        <v>15.69780523</v>
      </c>
      <c r="P73" s="76">
        <f>IF(AND(M73&gt;=$B$14,M73&lt;=$B$15,N73&lt;=Inputs!$B$38,O73&gt;=0,$D73=1),1,0)</f>
        <v>1</v>
      </c>
    </row>
    <row r="74" ht="15.75" customHeight="1">
      <c r="A74" s="23">
        <v>7.75</v>
      </c>
      <c r="B74" s="40">
        <f t="shared" si="4"/>
        <v>0.135263017</v>
      </c>
      <c r="C74" s="29">
        <f>MAX(Inputs!$C$68*COS($B74)+Inputs!$B$68*ABS(SIN($B74)),Inputs!$C$69*COS($B74)+Inputs!$B$69*ABS(SIN($B74)),Inputs!$C$70*COS($B74)+Inputs!$B$70*ABS(SIN($B74)),Inputs!$C$71*COS($B74)+Inputs!$B$71*ABS(SIN($B74)),Inputs!$C$72*COS($B74)+Inputs!$B$72*ABS(SIN($B74)))</f>
        <v>132.0405051</v>
      </c>
      <c r="D74" s="71">
        <f>IF(C74&lt;=Inputs!$B$38,1,0)</f>
        <v>1</v>
      </c>
      <c r="E74" s="29">
        <f>Inputs!$B$11*COS(($B74))-Inputs!$B$7*SIN(($B74))</f>
        <v>121.9496366</v>
      </c>
      <c r="F74" s="29">
        <f>Inputs!$B$11*SIN(($B74))+Inputs!$B$7*COS(($B74))</f>
        <v>-185.2470436</v>
      </c>
      <c r="G74" s="29">
        <f>SQRT((E74-Inputs!$B$5)^2+(F74-Inputs!$B$6)^2)</f>
        <v>312.6703878</v>
      </c>
      <c r="H74" s="29">
        <f>MAX(MAX(Inputs!$B$5,(Inputs!$B$5+(E74-Inputs!$B$5)*MIN(1,$B$16/G74)))+$B$7/2,MAX((Inputs!$B$5+(E74-Inputs!$B$5)*MIN(1,$B$16/G74)),E74)+Inputs!$B$41)</f>
        <v>291.8</v>
      </c>
      <c r="I74" s="29">
        <f>MIN(IF(OR(Inputs!$C$68=0,((((Inputs!$C$68*COS(($B74))+Inputs!$B$68*SIN(($B74)))-Inputs!$B$5)*(E74-Inputs!$B$5)+((Inputs!$C$68*SIN(($B74))-Inputs!$B$68*COS(($B74)))-Inputs!$B$6)*(F74-Inputs!$B$6))/G74)&lt;0,((((Inputs!$C$68*COS(($B74))+Inputs!$B$68*SIN(($B74)))-Inputs!$B$5)*(E74-Inputs!$B$5)+((Inputs!$C$68*SIN(($B74))-Inputs!$B$68*COS(($B74)))-Inputs!$B$6)*(F74-Inputs!$B$6))/G74)&gt;G74-Inputs!$B$40),999,(ABS((E74-Inputs!$B$5)*((Inputs!$C$68*SIN(($B74))-Inputs!$B$68*COS(($B74)))-Inputs!$B$6)-(F74-Inputs!$B$6)*((Inputs!$C$68*COS(($B74))+Inputs!$B$68*SIN(($B74)))-Inputs!$B$5))/G74)-IF(((((Inputs!$C$68*COS(($B74))+Inputs!$B$68*SIN(($B74)))-Inputs!$B$5)*(E74-Inputs!$B$5)+((Inputs!$C$68*SIN(($B74))-Inputs!$B$68*COS(($B74)))-Inputs!$B$6)*(F74-Inputs!$B$6))/G74)&lt;$B$16,$B$7/2,$B$8/2)-Inputs!$B$39),IF(OR(Inputs!$C$69=0,((((Inputs!$C$69*COS(($B74))+Inputs!$B$69*SIN(($B74)))-Inputs!$B$5)*(E74-Inputs!$B$5)+((Inputs!$C$69*SIN(($B74))-Inputs!$B$69*COS(($B74)))-Inputs!$B$6)*(F74-Inputs!$B$6))/G74)&lt;0,((((Inputs!$C$69*COS(($B74))+Inputs!$B$69*SIN(($B74)))-Inputs!$B$5)*(E74-Inputs!$B$5)+((Inputs!$C$69*SIN(($B74))-Inputs!$B$69*COS(($B74)))-Inputs!$B$6)*(F74-Inputs!$B$6))/G74)&gt;G74-Inputs!$B$40),999,(ABS((E74-Inputs!$B$5)*((Inputs!$C$69*SIN(($B74))-Inputs!$B$69*COS(($B74)))-Inputs!$B$6)-(F74-Inputs!$B$6)*((Inputs!$C$69*COS(($B74))+Inputs!$B$69*SIN(($B74)))-Inputs!$B$5))/G74)-IF(((((Inputs!$C$69*COS(($B74))+Inputs!$B$69*SIN(($B74)))-Inputs!$B$5)*(E74-Inputs!$B$5)+((Inputs!$C$69*SIN(($B74))-Inputs!$B$69*COS(($B74)))-Inputs!$B$6)*(F74-Inputs!$B$6))/G74)&lt;$B$16,$B$7/2,$B$8/2)-Inputs!$B$39),IF(OR(Inputs!$C$70=0,((((Inputs!$C$70*COS(($B74))+Inputs!$B$70*SIN(($B74)))-Inputs!$B$5)*(E74-Inputs!$B$5)+((Inputs!$C$70*SIN(($B74))-Inputs!$B$70*COS(($B74)))-Inputs!$B$6)*(F74-Inputs!$B$6))/G74)&lt;0,((((Inputs!$C$70*COS(($B74))+Inputs!$B$70*SIN(($B74)))-Inputs!$B$5)*(E74-Inputs!$B$5)+((Inputs!$C$70*SIN(($B74))-Inputs!$B$70*COS(($B74)))-Inputs!$B$6)*(F74-Inputs!$B$6))/G74)&gt;G74-Inputs!$B$40),999,(ABS((E74-Inputs!$B$5)*((Inputs!$C$70*SIN(($B74))-Inputs!$B$70*COS(($B74)))-Inputs!$B$6)-(F74-Inputs!$B$6)*((Inputs!$C$70*COS(($B74))+Inputs!$B$70*SIN(($B74)))-Inputs!$B$5))/G74)-IF(((((Inputs!$C$70*COS(($B74))+Inputs!$B$70*SIN(($B74)))-Inputs!$B$5)*(E74-Inputs!$B$5)+((Inputs!$C$70*SIN(($B74))-Inputs!$B$70*COS(($B74)))-Inputs!$B$6)*(F74-Inputs!$B$6))/G74)&lt;$B$16,$B$7/2,$B$8/2)-Inputs!$B$39),IF(OR(Inputs!$C$71=0,((((Inputs!$C$71*COS(($B74))+Inputs!$B$71*SIN(($B74)))-Inputs!$B$5)*(E74-Inputs!$B$5)+((Inputs!$C$71*SIN(($B74))-Inputs!$B$71*COS(($B74)))-Inputs!$B$6)*(F74-Inputs!$B$6))/G74)&lt;0,((((Inputs!$C$71*COS(($B74))+Inputs!$B$71*SIN(($B74)))-Inputs!$B$5)*(E74-Inputs!$B$5)+((Inputs!$C$71*SIN(($B74))-Inputs!$B$71*COS(($B74)))-Inputs!$B$6)*(F74-Inputs!$B$6))/G74)&gt;G74-Inputs!$B$40),999,(ABS((E74-Inputs!$B$5)*((Inputs!$C$71*SIN(($B74))-Inputs!$B$71*COS(($B74)))-Inputs!$B$6)-(F74-Inputs!$B$6)*((Inputs!$C$71*COS(($B74))+Inputs!$B$71*SIN(($B74)))-Inputs!$B$5))/G74)-IF(((((Inputs!$C$71*COS(($B74))+Inputs!$B$71*SIN(($B74)))-Inputs!$B$5)*(E74-Inputs!$B$5)+((Inputs!$C$71*SIN(($B74))-Inputs!$B$71*COS(($B74)))-Inputs!$B$6)*(F74-Inputs!$B$6))/G74)&lt;$B$16,$B$7/2,$B$8/2)-Inputs!$B$39),IF(OR(Inputs!$C$72=0,((((Inputs!$C$72*COS(($B74))+Inputs!$B$72*SIN(($B74)))-Inputs!$B$5)*(E74-Inputs!$B$5)+((Inputs!$C$72*SIN(($B74))-Inputs!$B$72*COS(($B74)))-Inputs!$B$6)*(F74-Inputs!$B$6))/G74)&lt;0,((((Inputs!$C$72*COS(($B74))+Inputs!$B$72*SIN(($B74)))-Inputs!$B$5)*(E74-Inputs!$B$5)+((Inputs!$C$72*SIN(($B74))-Inputs!$B$72*COS(($B74)))-Inputs!$B$6)*(F74-Inputs!$B$6))/G74)&gt;G74-Inputs!$B$40),999,(ABS((E74-Inputs!$B$5)*((Inputs!$C$72*SIN(($B74))-Inputs!$B$72*COS(($B74)))-Inputs!$B$6)-(F74-Inputs!$B$6)*((Inputs!$C$72*COS(($B74))+Inputs!$B$72*SIN(($B74)))-Inputs!$B$5))/G74)-IF(((((Inputs!$C$72*COS(($B74))+Inputs!$B$72*SIN(($B74)))-Inputs!$B$5)*(E74-Inputs!$B$5)+((Inputs!$C$72*SIN(($B74))-Inputs!$B$72*COS(($B74)))-Inputs!$B$6)*(F74-Inputs!$B$6))/G74)&lt;$B$16,$B$7/2,$B$8/2)-Inputs!$B$39))</f>
        <v>35.13783736</v>
      </c>
      <c r="J74" s="76">
        <f>IF(AND(G74&gt;=$B$14,G74&lt;=$B$15,H74&lt;=Inputs!$B$38,I74&gt;=0,$D74=1),1,0)</f>
        <v>1</v>
      </c>
      <c r="K74" s="29">
        <f>Inputs!$B$11*COS((-$B74))-Inputs!$B$7*SIN((-$B74))</f>
        <v>68.00926454</v>
      </c>
      <c r="L74" s="29">
        <f>Inputs!$B$11*SIN((-$B74))+Inputs!$B$7*COS((-$B74))</f>
        <v>-211.0993154</v>
      </c>
      <c r="M74" s="29">
        <f>SQRT((K74-Inputs!$B$5)^2+(L74-Inputs!$B$6)^2)</f>
        <v>360.421159</v>
      </c>
      <c r="N74" s="29">
        <f>MAX(MAX(Inputs!$B$5,(Inputs!$B$5+(K74-Inputs!$B$5)*MIN(1,$B$16/M74)))+$B$7/2,MAX((Inputs!$B$5+(K74-Inputs!$B$5)*MIN(1,$B$16/M74)),K74)+Inputs!$B$41)</f>
        <v>291.8</v>
      </c>
      <c r="O74" s="29">
        <f>MIN(IF(OR(Inputs!$C$68=0,((((Inputs!$C$68*COS((-$B74))+Inputs!$B$68*SIN((-$B74)))-Inputs!$B$5)*(K74-Inputs!$B$5)+((Inputs!$C$68*SIN((-$B74))-Inputs!$B$68*COS((-$B74)))-Inputs!$B$6)*(L74-Inputs!$B$6))/M74)&lt;0,((((Inputs!$C$68*COS((-$B74))+Inputs!$B$68*SIN((-$B74)))-Inputs!$B$5)*(K74-Inputs!$B$5)+((Inputs!$C$68*SIN((-$B74))-Inputs!$B$68*COS((-$B74)))-Inputs!$B$6)*(L74-Inputs!$B$6))/M74)&gt;M74-Inputs!$B$40),999,(ABS((K74-Inputs!$B$5)*((Inputs!$C$68*SIN((-$B74))-Inputs!$B$68*COS((-$B74)))-Inputs!$B$6)-(L74-Inputs!$B$6)*((Inputs!$C$68*COS((-$B74))+Inputs!$B$68*SIN((-$B74)))-Inputs!$B$5))/M74)-IF(((((Inputs!$C$68*COS((-$B74))+Inputs!$B$68*SIN((-$B74)))-Inputs!$B$5)*(K74-Inputs!$B$5)+((Inputs!$C$68*SIN((-$B74))-Inputs!$B$68*COS((-$B74)))-Inputs!$B$6)*(L74-Inputs!$B$6))/M74)&lt;$B$16,$B$7/2,$B$8/2)-Inputs!$B$39),IF(OR(Inputs!$C$69=0,((((Inputs!$C$69*COS((-$B74))+Inputs!$B$69*SIN((-$B74)))-Inputs!$B$5)*(K74-Inputs!$B$5)+((Inputs!$C$69*SIN((-$B74))-Inputs!$B$69*COS((-$B74)))-Inputs!$B$6)*(L74-Inputs!$B$6))/M74)&lt;0,((((Inputs!$C$69*COS((-$B74))+Inputs!$B$69*SIN((-$B74)))-Inputs!$B$5)*(K74-Inputs!$B$5)+((Inputs!$C$69*SIN((-$B74))-Inputs!$B$69*COS((-$B74)))-Inputs!$B$6)*(L74-Inputs!$B$6))/M74)&gt;M74-Inputs!$B$40),999,(ABS((K74-Inputs!$B$5)*((Inputs!$C$69*SIN((-$B74))-Inputs!$B$69*COS((-$B74)))-Inputs!$B$6)-(L74-Inputs!$B$6)*((Inputs!$C$69*COS((-$B74))+Inputs!$B$69*SIN((-$B74)))-Inputs!$B$5))/M74)-IF(((((Inputs!$C$69*COS((-$B74))+Inputs!$B$69*SIN((-$B74)))-Inputs!$B$5)*(K74-Inputs!$B$5)+((Inputs!$C$69*SIN((-$B74))-Inputs!$B$69*COS((-$B74)))-Inputs!$B$6)*(L74-Inputs!$B$6))/M74)&lt;$B$16,$B$7/2,$B$8/2)-Inputs!$B$39),IF(OR(Inputs!$C$70=0,((((Inputs!$C$70*COS((-$B74))+Inputs!$B$70*SIN((-$B74)))-Inputs!$B$5)*(K74-Inputs!$B$5)+((Inputs!$C$70*SIN((-$B74))-Inputs!$B$70*COS((-$B74)))-Inputs!$B$6)*(L74-Inputs!$B$6))/M74)&lt;0,((((Inputs!$C$70*COS((-$B74))+Inputs!$B$70*SIN((-$B74)))-Inputs!$B$5)*(K74-Inputs!$B$5)+((Inputs!$C$70*SIN((-$B74))-Inputs!$B$70*COS((-$B74)))-Inputs!$B$6)*(L74-Inputs!$B$6))/M74)&gt;M74-Inputs!$B$40),999,(ABS((K74-Inputs!$B$5)*((Inputs!$C$70*SIN((-$B74))-Inputs!$B$70*COS((-$B74)))-Inputs!$B$6)-(L74-Inputs!$B$6)*((Inputs!$C$70*COS((-$B74))+Inputs!$B$70*SIN((-$B74)))-Inputs!$B$5))/M74)-IF(((((Inputs!$C$70*COS((-$B74))+Inputs!$B$70*SIN((-$B74)))-Inputs!$B$5)*(K74-Inputs!$B$5)+((Inputs!$C$70*SIN((-$B74))-Inputs!$B$70*COS((-$B74)))-Inputs!$B$6)*(L74-Inputs!$B$6))/M74)&lt;$B$16,$B$7/2,$B$8/2)-Inputs!$B$39),IF(OR(Inputs!$C$71=0,((((Inputs!$C$71*COS((-$B74))+Inputs!$B$71*SIN((-$B74)))-Inputs!$B$5)*(K74-Inputs!$B$5)+((Inputs!$C$71*SIN((-$B74))-Inputs!$B$71*COS((-$B74)))-Inputs!$B$6)*(L74-Inputs!$B$6))/M74)&lt;0,((((Inputs!$C$71*COS((-$B74))+Inputs!$B$71*SIN((-$B74)))-Inputs!$B$5)*(K74-Inputs!$B$5)+((Inputs!$C$71*SIN((-$B74))-Inputs!$B$71*COS((-$B74)))-Inputs!$B$6)*(L74-Inputs!$B$6))/M74)&gt;M74-Inputs!$B$40),999,(ABS((K74-Inputs!$B$5)*((Inputs!$C$71*SIN((-$B74))-Inputs!$B$71*COS((-$B74)))-Inputs!$B$6)-(L74-Inputs!$B$6)*((Inputs!$C$71*COS((-$B74))+Inputs!$B$71*SIN((-$B74)))-Inputs!$B$5))/M74)-IF(((((Inputs!$C$71*COS((-$B74))+Inputs!$B$71*SIN((-$B74)))-Inputs!$B$5)*(K74-Inputs!$B$5)+((Inputs!$C$71*SIN((-$B74))-Inputs!$B$71*COS((-$B74)))-Inputs!$B$6)*(L74-Inputs!$B$6))/M74)&lt;$B$16,$B$7/2,$B$8/2)-Inputs!$B$39),IF(OR(Inputs!$C$72=0,((((Inputs!$C$72*COS((-$B74))+Inputs!$B$72*SIN((-$B74)))-Inputs!$B$5)*(K74-Inputs!$B$5)+((Inputs!$C$72*SIN((-$B74))-Inputs!$B$72*COS((-$B74)))-Inputs!$B$6)*(L74-Inputs!$B$6))/M74)&lt;0,((((Inputs!$C$72*COS((-$B74))+Inputs!$B$72*SIN((-$B74)))-Inputs!$B$5)*(K74-Inputs!$B$5)+((Inputs!$C$72*SIN((-$B74))-Inputs!$B$72*COS((-$B74)))-Inputs!$B$6)*(L74-Inputs!$B$6))/M74)&gt;M74-Inputs!$B$40),999,(ABS((K74-Inputs!$B$5)*((Inputs!$C$72*SIN((-$B74))-Inputs!$B$72*COS((-$B74)))-Inputs!$B$6)-(L74-Inputs!$B$6)*((Inputs!$C$72*COS((-$B74))+Inputs!$B$72*SIN((-$B74)))-Inputs!$B$5))/M74)-IF(((((Inputs!$C$72*COS((-$B74))+Inputs!$B$72*SIN((-$B74)))-Inputs!$B$5)*(K74-Inputs!$B$5)+((Inputs!$C$72*SIN((-$B74))-Inputs!$B$72*COS((-$B74)))-Inputs!$B$6)*(L74-Inputs!$B$6))/M74)&lt;$B$16,$B$7/2,$B$8/2)-Inputs!$B$39))</f>
        <v>15.37214065</v>
      </c>
      <c r="P74" s="76">
        <f>IF(AND(M74&gt;=$B$14,M74&lt;=$B$15,N74&lt;=Inputs!$B$38,O74&gt;=0,$D74=1),1,0)</f>
        <v>1</v>
      </c>
    </row>
    <row r="75" ht="15.75" customHeight="1">
      <c r="A75" s="23">
        <v>8.0</v>
      </c>
      <c r="B75" s="40">
        <f t="shared" si="4"/>
        <v>0.1396263402</v>
      </c>
      <c r="C75" s="29">
        <f>MAX(Inputs!$C$68*COS($B75)+Inputs!$B$68*ABS(SIN($B75)),Inputs!$C$69*COS($B75)+Inputs!$B$69*ABS(SIN($B75)),Inputs!$C$70*COS($B75)+Inputs!$B$70*ABS(SIN($B75)),Inputs!$C$71*COS($B75)+Inputs!$B$71*ABS(SIN($B75)),Inputs!$C$72*COS($B75)+Inputs!$B$72*ABS(SIN($B75)))</f>
        <v>133.716431</v>
      </c>
      <c r="D75" s="71">
        <f>IF(C75&lt;=Inputs!$B$38,1,0)</f>
        <v>1</v>
      </c>
      <c r="E75" s="29">
        <f>Inputs!$B$11*COS(($B75))-Inputs!$B$7*SIN(($B75))</f>
        <v>122.7567659</v>
      </c>
      <c r="F75" s="29">
        <f>Inputs!$B$11*SIN(($B75))+Inputs!$B$7*COS(($B75))</f>
        <v>-184.7131762</v>
      </c>
      <c r="G75" s="29">
        <f>SQRT((E75-Inputs!$B$5)^2+(F75-Inputs!$B$6)^2)</f>
        <v>311.853224</v>
      </c>
      <c r="H75" s="29">
        <f>MAX(MAX(Inputs!$B$5,(Inputs!$B$5+(E75-Inputs!$B$5)*MIN(1,$B$16/G75)))+$B$7/2,MAX((Inputs!$B$5+(E75-Inputs!$B$5)*MIN(1,$B$16/G75)),E75)+Inputs!$B$41)</f>
        <v>291.8</v>
      </c>
      <c r="I75" s="29">
        <f>MIN(IF(OR(Inputs!$C$68=0,((((Inputs!$C$68*COS(($B75))+Inputs!$B$68*SIN(($B75)))-Inputs!$B$5)*(E75-Inputs!$B$5)+((Inputs!$C$68*SIN(($B75))-Inputs!$B$68*COS(($B75)))-Inputs!$B$6)*(F75-Inputs!$B$6))/G75)&lt;0,((((Inputs!$C$68*COS(($B75))+Inputs!$B$68*SIN(($B75)))-Inputs!$B$5)*(E75-Inputs!$B$5)+((Inputs!$C$68*SIN(($B75))-Inputs!$B$68*COS(($B75)))-Inputs!$B$6)*(F75-Inputs!$B$6))/G75)&gt;G75-Inputs!$B$40),999,(ABS((E75-Inputs!$B$5)*((Inputs!$C$68*SIN(($B75))-Inputs!$B$68*COS(($B75)))-Inputs!$B$6)-(F75-Inputs!$B$6)*((Inputs!$C$68*COS(($B75))+Inputs!$B$68*SIN(($B75)))-Inputs!$B$5))/G75)-IF(((((Inputs!$C$68*COS(($B75))+Inputs!$B$68*SIN(($B75)))-Inputs!$B$5)*(E75-Inputs!$B$5)+((Inputs!$C$68*SIN(($B75))-Inputs!$B$68*COS(($B75)))-Inputs!$B$6)*(F75-Inputs!$B$6))/G75)&lt;$B$16,$B$7/2,$B$8/2)-Inputs!$B$39),IF(OR(Inputs!$C$69=0,((((Inputs!$C$69*COS(($B75))+Inputs!$B$69*SIN(($B75)))-Inputs!$B$5)*(E75-Inputs!$B$5)+((Inputs!$C$69*SIN(($B75))-Inputs!$B$69*COS(($B75)))-Inputs!$B$6)*(F75-Inputs!$B$6))/G75)&lt;0,((((Inputs!$C$69*COS(($B75))+Inputs!$B$69*SIN(($B75)))-Inputs!$B$5)*(E75-Inputs!$B$5)+((Inputs!$C$69*SIN(($B75))-Inputs!$B$69*COS(($B75)))-Inputs!$B$6)*(F75-Inputs!$B$6))/G75)&gt;G75-Inputs!$B$40),999,(ABS((E75-Inputs!$B$5)*((Inputs!$C$69*SIN(($B75))-Inputs!$B$69*COS(($B75)))-Inputs!$B$6)-(F75-Inputs!$B$6)*((Inputs!$C$69*COS(($B75))+Inputs!$B$69*SIN(($B75)))-Inputs!$B$5))/G75)-IF(((((Inputs!$C$69*COS(($B75))+Inputs!$B$69*SIN(($B75)))-Inputs!$B$5)*(E75-Inputs!$B$5)+((Inputs!$C$69*SIN(($B75))-Inputs!$B$69*COS(($B75)))-Inputs!$B$6)*(F75-Inputs!$B$6))/G75)&lt;$B$16,$B$7/2,$B$8/2)-Inputs!$B$39),IF(OR(Inputs!$C$70=0,((((Inputs!$C$70*COS(($B75))+Inputs!$B$70*SIN(($B75)))-Inputs!$B$5)*(E75-Inputs!$B$5)+((Inputs!$C$70*SIN(($B75))-Inputs!$B$70*COS(($B75)))-Inputs!$B$6)*(F75-Inputs!$B$6))/G75)&lt;0,((((Inputs!$C$70*COS(($B75))+Inputs!$B$70*SIN(($B75)))-Inputs!$B$5)*(E75-Inputs!$B$5)+((Inputs!$C$70*SIN(($B75))-Inputs!$B$70*COS(($B75)))-Inputs!$B$6)*(F75-Inputs!$B$6))/G75)&gt;G75-Inputs!$B$40),999,(ABS((E75-Inputs!$B$5)*((Inputs!$C$70*SIN(($B75))-Inputs!$B$70*COS(($B75)))-Inputs!$B$6)-(F75-Inputs!$B$6)*((Inputs!$C$70*COS(($B75))+Inputs!$B$70*SIN(($B75)))-Inputs!$B$5))/G75)-IF(((((Inputs!$C$70*COS(($B75))+Inputs!$B$70*SIN(($B75)))-Inputs!$B$5)*(E75-Inputs!$B$5)+((Inputs!$C$70*SIN(($B75))-Inputs!$B$70*COS(($B75)))-Inputs!$B$6)*(F75-Inputs!$B$6))/G75)&lt;$B$16,$B$7/2,$B$8/2)-Inputs!$B$39),IF(OR(Inputs!$C$71=0,((((Inputs!$C$71*COS(($B75))+Inputs!$B$71*SIN(($B75)))-Inputs!$B$5)*(E75-Inputs!$B$5)+((Inputs!$C$71*SIN(($B75))-Inputs!$B$71*COS(($B75)))-Inputs!$B$6)*(F75-Inputs!$B$6))/G75)&lt;0,((((Inputs!$C$71*COS(($B75))+Inputs!$B$71*SIN(($B75)))-Inputs!$B$5)*(E75-Inputs!$B$5)+((Inputs!$C$71*SIN(($B75))-Inputs!$B$71*COS(($B75)))-Inputs!$B$6)*(F75-Inputs!$B$6))/G75)&gt;G75-Inputs!$B$40),999,(ABS((E75-Inputs!$B$5)*((Inputs!$C$71*SIN(($B75))-Inputs!$B$71*COS(($B75)))-Inputs!$B$6)-(F75-Inputs!$B$6)*((Inputs!$C$71*COS(($B75))+Inputs!$B$71*SIN(($B75)))-Inputs!$B$5))/G75)-IF(((((Inputs!$C$71*COS(($B75))+Inputs!$B$71*SIN(($B75)))-Inputs!$B$5)*(E75-Inputs!$B$5)+((Inputs!$C$71*SIN(($B75))-Inputs!$B$71*COS(($B75)))-Inputs!$B$6)*(F75-Inputs!$B$6))/G75)&lt;$B$16,$B$7/2,$B$8/2)-Inputs!$B$39),IF(OR(Inputs!$C$72=0,((((Inputs!$C$72*COS(($B75))+Inputs!$B$72*SIN(($B75)))-Inputs!$B$5)*(E75-Inputs!$B$5)+((Inputs!$C$72*SIN(($B75))-Inputs!$B$72*COS(($B75)))-Inputs!$B$6)*(F75-Inputs!$B$6))/G75)&lt;0,((((Inputs!$C$72*COS(($B75))+Inputs!$B$72*SIN(($B75)))-Inputs!$B$5)*(E75-Inputs!$B$5)+((Inputs!$C$72*SIN(($B75))-Inputs!$B$72*COS(($B75)))-Inputs!$B$6)*(F75-Inputs!$B$6))/G75)&gt;G75-Inputs!$B$40),999,(ABS((E75-Inputs!$B$5)*((Inputs!$C$72*SIN(($B75))-Inputs!$B$72*COS(($B75)))-Inputs!$B$6)-(F75-Inputs!$B$6)*((Inputs!$C$72*COS(($B75))+Inputs!$B$72*SIN(($B75)))-Inputs!$B$5))/G75)-IF(((((Inputs!$C$72*COS(($B75))+Inputs!$B$72*SIN(($B75)))-Inputs!$B$5)*(E75-Inputs!$B$5)+((Inputs!$C$72*SIN(($B75))-Inputs!$B$72*COS(($B75)))-Inputs!$B$6)*(F75-Inputs!$B$6))/G75)&lt;$B$16,$B$7/2,$B$8/2)-Inputs!$B$39))</f>
        <v>35.44880973</v>
      </c>
      <c r="J75" s="76">
        <f>IF(AND(G75&gt;=$B$14,G75&lt;=$B$15,H75&lt;=Inputs!$B$38,I75&gt;=0,$D75=1),1,0)</f>
        <v>1</v>
      </c>
      <c r="K75" s="29">
        <f>Inputs!$B$11*COS((-$B75))-Inputs!$B$7*SIN((-$B75))</f>
        <v>67.08752554</v>
      </c>
      <c r="L75" s="29">
        <f>Inputs!$B$11*SIN((-$B75))+Inputs!$B$7*COS((-$B75))</f>
        <v>-211.3940513</v>
      </c>
      <c r="M75" s="29">
        <f>SQRT((K75-Inputs!$B$5)^2+(L75-Inputs!$B$6)^2)</f>
        <v>361.141563</v>
      </c>
      <c r="N75" s="29">
        <f>MAX(MAX(Inputs!$B$5,(Inputs!$B$5+(K75-Inputs!$B$5)*MIN(1,$B$16/M75)))+$B$7/2,MAX((Inputs!$B$5+(K75-Inputs!$B$5)*MIN(1,$B$16/M75)),K75)+Inputs!$B$41)</f>
        <v>291.8</v>
      </c>
      <c r="O75" s="29">
        <f>MIN(IF(OR(Inputs!$C$68=0,((((Inputs!$C$68*COS((-$B75))+Inputs!$B$68*SIN((-$B75)))-Inputs!$B$5)*(K75-Inputs!$B$5)+((Inputs!$C$68*SIN((-$B75))-Inputs!$B$68*COS((-$B75)))-Inputs!$B$6)*(L75-Inputs!$B$6))/M75)&lt;0,((((Inputs!$C$68*COS((-$B75))+Inputs!$B$68*SIN((-$B75)))-Inputs!$B$5)*(K75-Inputs!$B$5)+((Inputs!$C$68*SIN((-$B75))-Inputs!$B$68*COS((-$B75)))-Inputs!$B$6)*(L75-Inputs!$B$6))/M75)&gt;M75-Inputs!$B$40),999,(ABS((K75-Inputs!$B$5)*((Inputs!$C$68*SIN((-$B75))-Inputs!$B$68*COS((-$B75)))-Inputs!$B$6)-(L75-Inputs!$B$6)*((Inputs!$C$68*COS((-$B75))+Inputs!$B$68*SIN((-$B75)))-Inputs!$B$5))/M75)-IF(((((Inputs!$C$68*COS((-$B75))+Inputs!$B$68*SIN((-$B75)))-Inputs!$B$5)*(K75-Inputs!$B$5)+((Inputs!$C$68*SIN((-$B75))-Inputs!$B$68*COS((-$B75)))-Inputs!$B$6)*(L75-Inputs!$B$6))/M75)&lt;$B$16,$B$7/2,$B$8/2)-Inputs!$B$39),IF(OR(Inputs!$C$69=0,((((Inputs!$C$69*COS((-$B75))+Inputs!$B$69*SIN((-$B75)))-Inputs!$B$5)*(K75-Inputs!$B$5)+((Inputs!$C$69*SIN((-$B75))-Inputs!$B$69*COS((-$B75)))-Inputs!$B$6)*(L75-Inputs!$B$6))/M75)&lt;0,((((Inputs!$C$69*COS((-$B75))+Inputs!$B$69*SIN((-$B75)))-Inputs!$B$5)*(K75-Inputs!$B$5)+((Inputs!$C$69*SIN((-$B75))-Inputs!$B$69*COS((-$B75)))-Inputs!$B$6)*(L75-Inputs!$B$6))/M75)&gt;M75-Inputs!$B$40),999,(ABS((K75-Inputs!$B$5)*((Inputs!$C$69*SIN((-$B75))-Inputs!$B$69*COS((-$B75)))-Inputs!$B$6)-(L75-Inputs!$B$6)*((Inputs!$C$69*COS((-$B75))+Inputs!$B$69*SIN((-$B75)))-Inputs!$B$5))/M75)-IF(((((Inputs!$C$69*COS((-$B75))+Inputs!$B$69*SIN((-$B75)))-Inputs!$B$5)*(K75-Inputs!$B$5)+((Inputs!$C$69*SIN((-$B75))-Inputs!$B$69*COS((-$B75)))-Inputs!$B$6)*(L75-Inputs!$B$6))/M75)&lt;$B$16,$B$7/2,$B$8/2)-Inputs!$B$39),IF(OR(Inputs!$C$70=0,((((Inputs!$C$70*COS((-$B75))+Inputs!$B$70*SIN((-$B75)))-Inputs!$B$5)*(K75-Inputs!$B$5)+((Inputs!$C$70*SIN((-$B75))-Inputs!$B$70*COS((-$B75)))-Inputs!$B$6)*(L75-Inputs!$B$6))/M75)&lt;0,((((Inputs!$C$70*COS((-$B75))+Inputs!$B$70*SIN((-$B75)))-Inputs!$B$5)*(K75-Inputs!$B$5)+((Inputs!$C$70*SIN((-$B75))-Inputs!$B$70*COS((-$B75)))-Inputs!$B$6)*(L75-Inputs!$B$6))/M75)&gt;M75-Inputs!$B$40),999,(ABS((K75-Inputs!$B$5)*((Inputs!$C$70*SIN((-$B75))-Inputs!$B$70*COS((-$B75)))-Inputs!$B$6)-(L75-Inputs!$B$6)*((Inputs!$C$70*COS((-$B75))+Inputs!$B$70*SIN((-$B75)))-Inputs!$B$5))/M75)-IF(((((Inputs!$C$70*COS((-$B75))+Inputs!$B$70*SIN((-$B75)))-Inputs!$B$5)*(K75-Inputs!$B$5)+((Inputs!$C$70*SIN((-$B75))-Inputs!$B$70*COS((-$B75)))-Inputs!$B$6)*(L75-Inputs!$B$6))/M75)&lt;$B$16,$B$7/2,$B$8/2)-Inputs!$B$39),IF(OR(Inputs!$C$71=0,((((Inputs!$C$71*COS((-$B75))+Inputs!$B$71*SIN((-$B75)))-Inputs!$B$5)*(K75-Inputs!$B$5)+((Inputs!$C$71*SIN((-$B75))-Inputs!$B$71*COS((-$B75)))-Inputs!$B$6)*(L75-Inputs!$B$6))/M75)&lt;0,((((Inputs!$C$71*COS((-$B75))+Inputs!$B$71*SIN((-$B75)))-Inputs!$B$5)*(K75-Inputs!$B$5)+((Inputs!$C$71*SIN((-$B75))-Inputs!$B$71*COS((-$B75)))-Inputs!$B$6)*(L75-Inputs!$B$6))/M75)&gt;M75-Inputs!$B$40),999,(ABS((K75-Inputs!$B$5)*((Inputs!$C$71*SIN((-$B75))-Inputs!$B$71*COS((-$B75)))-Inputs!$B$6)-(L75-Inputs!$B$6)*((Inputs!$C$71*COS((-$B75))+Inputs!$B$71*SIN((-$B75)))-Inputs!$B$5))/M75)-IF(((((Inputs!$C$71*COS((-$B75))+Inputs!$B$71*SIN((-$B75)))-Inputs!$B$5)*(K75-Inputs!$B$5)+((Inputs!$C$71*SIN((-$B75))-Inputs!$B$71*COS((-$B75)))-Inputs!$B$6)*(L75-Inputs!$B$6))/M75)&lt;$B$16,$B$7/2,$B$8/2)-Inputs!$B$39),IF(OR(Inputs!$C$72=0,((((Inputs!$C$72*COS((-$B75))+Inputs!$B$72*SIN((-$B75)))-Inputs!$B$5)*(K75-Inputs!$B$5)+((Inputs!$C$72*SIN((-$B75))-Inputs!$B$72*COS((-$B75)))-Inputs!$B$6)*(L75-Inputs!$B$6))/M75)&lt;0,((((Inputs!$C$72*COS((-$B75))+Inputs!$B$72*SIN((-$B75)))-Inputs!$B$5)*(K75-Inputs!$B$5)+((Inputs!$C$72*SIN((-$B75))-Inputs!$B$72*COS((-$B75)))-Inputs!$B$6)*(L75-Inputs!$B$6))/M75)&gt;M75-Inputs!$B$40),999,(ABS((K75-Inputs!$B$5)*((Inputs!$C$72*SIN((-$B75))-Inputs!$B$72*COS((-$B75)))-Inputs!$B$6)-(L75-Inputs!$B$6)*((Inputs!$C$72*COS((-$B75))+Inputs!$B$72*SIN((-$B75)))-Inputs!$B$5))/M75)-IF(((((Inputs!$C$72*COS((-$B75))+Inputs!$B$72*SIN((-$B75)))-Inputs!$B$5)*(K75-Inputs!$B$5)+((Inputs!$C$72*SIN((-$B75))-Inputs!$B$72*COS((-$B75)))-Inputs!$B$6)*(L75-Inputs!$B$6))/M75)&lt;$B$16,$B$7/2,$B$8/2)-Inputs!$B$39))</f>
        <v>15.04627603</v>
      </c>
      <c r="P75" s="76">
        <f>IF(AND(M75&gt;=$B$14,M75&lt;=$B$15,N75&lt;=Inputs!$B$38,O75&gt;=0,$D75=1),1,0)</f>
        <v>1</v>
      </c>
    </row>
    <row r="76" ht="15.75" customHeight="1">
      <c r="A76" s="23">
        <v>8.25</v>
      </c>
      <c r="B76" s="40">
        <f t="shared" si="4"/>
        <v>0.1439896633</v>
      </c>
      <c r="C76" s="29">
        <f>MAX(Inputs!$C$68*COS($B76)+Inputs!$B$68*ABS(SIN($B76)),Inputs!$C$69*COS($B76)+Inputs!$B$69*ABS(SIN($B76)),Inputs!$C$70*COS($B76)+Inputs!$B$70*ABS(SIN($B76)),Inputs!$C$71*COS($B76)+Inputs!$B$71*ABS(SIN($B76)),Inputs!$C$72*COS($B76)+Inputs!$B$72*ABS(SIN($B76)))</f>
        <v>135.3898111</v>
      </c>
      <c r="D76" s="71">
        <f>IF(C76&lt;=Inputs!$B$38,1,0)</f>
        <v>1</v>
      </c>
      <c r="E76" s="29">
        <f>Inputs!$B$11*COS(($B76))-Inputs!$B$7*SIN(($B76))</f>
        <v>123.5615581</v>
      </c>
      <c r="F76" s="29">
        <f>Inputs!$B$11*SIN(($B76))+Inputs!$B$7*COS(($B76))</f>
        <v>-184.1757921</v>
      </c>
      <c r="G76" s="29">
        <f>SQRT((E76-Inputs!$B$5)^2+(F76-Inputs!$B$6)^2)</f>
        <v>311.0346611</v>
      </c>
      <c r="H76" s="29">
        <f>MAX(MAX(Inputs!$B$5,(Inputs!$B$5+(E76-Inputs!$B$5)*MIN(1,$B$16/G76)))+$B$7/2,MAX((Inputs!$B$5+(E76-Inputs!$B$5)*MIN(1,$B$16/G76)),E76)+Inputs!$B$41)</f>
        <v>291.8</v>
      </c>
      <c r="I76" s="29">
        <f>MIN(IF(OR(Inputs!$C$68=0,((((Inputs!$C$68*COS(($B76))+Inputs!$B$68*SIN(($B76)))-Inputs!$B$5)*(E76-Inputs!$B$5)+((Inputs!$C$68*SIN(($B76))-Inputs!$B$68*COS(($B76)))-Inputs!$B$6)*(F76-Inputs!$B$6))/G76)&lt;0,((((Inputs!$C$68*COS(($B76))+Inputs!$B$68*SIN(($B76)))-Inputs!$B$5)*(E76-Inputs!$B$5)+((Inputs!$C$68*SIN(($B76))-Inputs!$B$68*COS(($B76)))-Inputs!$B$6)*(F76-Inputs!$B$6))/G76)&gt;G76-Inputs!$B$40),999,(ABS((E76-Inputs!$B$5)*((Inputs!$C$68*SIN(($B76))-Inputs!$B$68*COS(($B76)))-Inputs!$B$6)-(F76-Inputs!$B$6)*((Inputs!$C$68*COS(($B76))+Inputs!$B$68*SIN(($B76)))-Inputs!$B$5))/G76)-IF(((((Inputs!$C$68*COS(($B76))+Inputs!$B$68*SIN(($B76)))-Inputs!$B$5)*(E76-Inputs!$B$5)+((Inputs!$C$68*SIN(($B76))-Inputs!$B$68*COS(($B76)))-Inputs!$B$6)*(F76-Inputs!$B$6))/G76)&lt;$B$16,$B$7/2,$B$8/2)-Inputs!$B$39),IF(OR(Inputs!$C$69=0,((((Inputs!$C$69*COS(($B76))+Inputs!$B$69*SIN(($B76)))-Inputs!$B$5)*(E76-Inputs!$B$5)+((Inputs!$C$69*SIN(($B76))-Inputs!$B$69*COS(($B76)))-Inputs!$B$6)*(F76-Inputs!$B$6))/G76)&lt;0,((((Inputs!$C$69*COS(($B76))+Inputs!$B$69*SIN(($B76)))-Inputs!$B$5)*(E76-Inputs!$B$5)+((Inputs!$C$69*SIN(($B76))-Inputs!$B$69*COS(($B76)))-Inputs!$B$6)*(F76-Inputs!$B$6))/G76)&gt;G76-Inputs!$B$40),999,(ABS((E76-Inputs!$B$5)*((Inputs!$C$69*SIN(($B76))-Inputs!$B$69*COS(($B76)))-Inputs!$B$6)-(F76-Inputs!$B$6)*((Inputs!$C$69*COS(($B76))+Inputs!$B$69*SIN(($B76)))-Inputs!$B$5))/G76)-IF(((((Inputs!$C$69*COS(($B76))+Inputs!$B$69*SIN(($B76)))-Inputs!$B$5)*(E76-Inputs!$B$5)+((Inputs!$C$69*SIN(($B76))-Inputs!$B$69*COS(($B76)))-Inputs!$B$6)*(F76-Inputs!$B$6))/G76)&lt;$B$16,$B$7/2,$B$8/2)-Inputs!$B$39),IF(OR(Inputs!$C$70=0,((((Inputs!$C$70*COS(($B76))+Inputs!$B$70*SIN(($B76)))-Inputs!$B$5)*(E76-Inputs!$B$5)+((Inputs!$C$70*SIN(($B76))-Inputs!$B$70*COS(($B76)))-Inputs!$B$6)*(F76-Inputs!$B$6))/G76)&lt;0,((((Inputs!$C$70*COS(($B76))+Inputs!$B$70*SIN(($B76)))-Inputs!$B$5)*(E76-Inputs!$B$5)+((Inputs!$C$70*SIN(($B76))-Inputs!$B$70*COS(($B76)))-Inputs!$B$6)*(F76-Inputs!$B$6))/G76)&gt;G76-Inputs!$B$40),999,(ABS((E76-Inputs!$B$5)*((Inputs!$C$70*SIN(($B76))-Inputs!$B$70*COS(($B76)))-Inputs!$B$6)-(F76-Inputs!$B$6)*((Inputs!$C$70*COS(($B76))+Inputs!$B$70*SIN(($B76)))-Inputs!$B$5))/G76)-IF(((((Inputs!$C$70*COS(($B76))+Inputs!$B$70*SIN(($B76)))-Inputs!$B$5)*(E76-Inputs!$B$5)+((Inputs!$C$70*SIN(($B76))-Inputs!$B$70*COS(($B76)))-Inputs!$B$6)*(F76-Inputs!$B$6))/G76)&lt;$B$16,$B$7/2,$B$8/2)-Inputs!$B$39),IF(OR(Inputs!$C$71=0,((((Inputs!$C$71*COS(($B76))+Inputs!$B$71*SIN(($B76)))-Inputs!$B$5)*(E76-Inputs!$B$5)+((Inputs!$C$71*SIN(($B76))-Inputs!$B$71*COS(($B76)))-Inputs!$B$6)*(F76-Inputs!$B$6))/G76)&lt;0,((((Inputs!$C$71*COS(($B76))+Inputs!$B$71*SIN(($B76)))-Inputs!$B$5)*(E76-Inputs!$B$5)+((Inputs!$C$71*SIN(($B76))-Inputs!$B$71*COS(($B76)))-Inputs!$B$6)*(F76-Inputs!$B$6))/G76)&gt;G76-Inputs!$B$40),999,(ABS((E76-Inputs!$B$5)*((Inputs!$C$71*SIN(($B76))-Inputs!$B$71*COS(($B76)))-Inputs!$B$6)-(F76-Inputs!$B$6)*((Inputs!$C$71*COS(($B76))+Inputs!$B$71*SIN(($B76)))-Inputs!$B$5))/G76)-IF(((((Inputs!$C$71*COS(($B76))+Inputs!$B$71*SIN(($B76)))-Inputs!$B$5)*(E76-Inputs!$B$5)+((Inputs!$C$71*SIN(($B76))-Inputs!$B$71*COS(($B76)))-Inputs!$B$6)*(F76-Inputs!$B$6))/G76)&lt;$B$16,$B$7/2,$B$8/2)-Inputs!$B$39),IF(OR(Inputs!$C$72=0,((((Inputs!$C$72*COS(($B76))+Inputs!$B$72*SIN(($B76)))-Inputs!$B$5)*(E76-Inputs!$B$5)+((Inputs!$C$72*SIN(($B76))-Inputs!$B$72*COS(($B76)))-Inputs!$B$6)*(F76-Inputs!$B$6))/G76)&lt;0,((((Inputs!$C$72*COS(($B76))+Inputs!$B$72*SIN(($B76)))-Inputs!$B$5)*(E76-Inputs!$B$5)+((Inputs!$C$72*SIN(($B76))-Inputs!$B$72*COS(($B76)))-Inputs!$B$6)*(F76-Inputs!$B$6))/G76)&gt;G76-Inputs!$B$40),999,(ABS((E76-Inputs!$B$5)*((Inputs!$C$72*SIN(($B76))-Inputs!$B$72*COS(($B76)))-Inputs!$B$6)-(F76-Inputs!$B$6)*((Inputs!$C$72*COS(($B76))+Inputs!$B$72*SIN(($B76)))-Inputs!$B$5))/G76)-IF(((((Inputs!$C$72*COS(($B76))+Inputs!$B$72*SIN(($B76)))-Inputs!$B$5)*(E76-Inputs!$B$5)+((Inputs!$C$72*SIN(($B76))-Inputs!$B$72*COS(($B76)))-Inputs!$B$6)*(F76-Inputs!$B$6))/G76)&lt;$B$16,$B$7/2,$B$8/2)-Inputs!$B$39))</f>
        <v>35.75951032</v>
      </c>
      <c r="J76" s="76">
        <f>IF(AND(G76&gt;=$B$14,G76&lt;=$B$15,H76&lt;=Inputs!$B$38,I76&gt;=0,$D76=1),1,0)</f>
        <v>1</v>
      </c>
      <c r="K76" s="29">
        <f>Inputs!$B$11*COS((-$B76))-Inputs!$B$7*SIN((-$B76))</f>
        <v>66.16450929</v>
      </c>
      <c r="L76" s="29">
        <f>Inputs!$B$11*SIN((-$B76))+Inputs!$B$7*COS((-$B76))</f>
        <v>-211.6847626</v>
      </c>
      <c r="M76" s="29">
        <f>SQRT((K76-Inputs!$B$5)^2+(L76-Inputs!$B$6)^2)</f>
        <v>361.860303</v>
      </c>
      <c r="N76" s="29">
        <f>MAX(MAX(Inputs!$B$5,(Inputs!$B$5+(K76-Inputs!$B$5)*MIN(1,$B$16/M76)))+$B$7/2,MAX((Inputs!$B$5+(K76-Inputs!$B$5)*MIN(1,$B$16/M76)),K76)+Inputs!$B$41)</f>
        <v>291.8</v>
      </c>
      <c r="O76" s="29">
        <f>MIN(IF(OR(Inputs!$C$68=0,((((Inputs!$C$68*COS((-$B76))+Inputs!$B$68*SIN((-$B76)))-Inputs!$B$5)*(K76-Inputs!$B$5)+((Inputs!$C$68*SIN((-$B76))-Inputs!$B$68*COS((-$B76)))-Inputs!$B$6)*(L76-Inputs!$B$6))/M76)&lt;0,((((Inputs!$C$68*COS((-$B76))+Inputs!$B$68*SIN((-$B76)))-Inputs!$B$5)*(K76-Inputs!$B$5)+((Inputs!$C$68*SIN((-$B76))-Inputs!$B$68*COS((-$B76)))-Inputs!$B$6)*(L76-Inputs!$B$6))/M76)&gt;M76-Inputs!$B$40),999,(ABS((K76-Inputs!$B$5)*((Inputs!$C$68*SIN((-$B76))-Inputs!$B$68*COS((-$B76)))-Inputs!$B$6)-(L76-Inputs!$B$6)*((Inputs!$C$68*COS((-$B76))+Inputs!$B$68*SIN((-$B76)))-Inputs!$B$5))/M76)-IF(((((Inputs!$C$68*COS((-$B76))+Inputs!$B$68*SIN((-$B76)))-Inputs!$B$5)*(K76-Inputs!$B$5)+((Inputs!$C$68*SIN((-$B76))-Inputs!$B$68*COS((-$B76)))-Inputs!$B$6)*(L76-Inputs!$B$6))/M76)&lt;$B$16,$B$7/2,$B$8/2)-Inputs!$B$39),IF(OR(Inputs!$C$69=0,((((Inputs!$C$69*COS((-$B76))+Inputs!$B$69*SIN((-$B76)))-Inputs!$B$5)*(K76-Inputs!$B$5)+((Inputs!$C$69*SIN((-$B76))-Inputs!$B$69*COS((-$B76)))-Inputs!$B$6)*(L76-Inputs!$B$6))/M76)&lt;0,((((Inputs!$C$69*COS((-$B76))+Inputs!$B$69*SIN((-$B76)))-Inputs!$B$5)*(K76-Inputs!$B$5)+((Inputs!$C$69*SIN((-$B76))-Inputs!$B$69*COS((-$B76)))-Inputs!$B$6)*(L76-Inputs!$B$6))/M76)&gt;M76-Inputs!$B$40),999,(ABS((K76-Inputs!$B$5)*((Inputs!$C$69*SIN((-$B76))-Inputs!$B$69*COS((-$B76)))-Inputs!$B$6)-(L76-Inputs!$B$6)*((Inputs!$C$69*COS((-$B76))+Inputs!$B$69*SIN((-$B76)))-Inputs!$B$5))/M76)-IF(((((Inputs!$C$69*COS((-$B76))+Inputs!$B$69*SIN((-$B76)))-Inputs!$B$5)*(K76-Inputs!$B$5)+((Inputs!$C$69*SIN((-$B76))-Inputs!$B$69*COS((-$B76)))-Inputs!$B$6)*(L76-Inputs!$B$6))/M76)&lt;$B$16,$B$7/2,$B$8/2)-Inputs!$B$39),IF(OR(Inputs!$C$70=0,((((Inputs!$C$70*COS((-$B76))+Inputs!$B$70*SIN((-$B76)))-Inputs!$B$5)*(K76-Inputs!$B$5)+((Inputs!$C$70*SIN((-$B76))-Inputs!$B$70*COS((-$B76)))-Inputs!$B$6)*(L76-Inputs!$B$6))/M76)&lt;0,((((Inputs!$C$70*COS((-$B76))+Inputs!$B$70*SIN((-$B76)))-Inputs!$B$5)*(K76-Inputs!$B$5)+((Inputs!$C$70*SIN((-$B76))-Inputs!$B$70*COS((-$B76)))-Inputs!$B$6)*(L76-Inputs!$B$6))/M76)&gt;M76-Inputs!$B$40),999,(ABS((K76-Inputs!$B$5)*((Inputs!$C$70*SIN((-$B76))-Inputs!$B$70*COS((-$B76)))-Inputs!$B$6)-(L76-Inputs!$B$6)*((Inputs!$C$70*COS((-$B76))+Inputs!$B$70*SIN((-$B76)))-Inputs!$B$5))/M76)-IF(((((Inputs!$C$70*COS((-$B76))+Inputs!$B$70*SIN((-$B76)))-Inputs!$B$5)*(K76-Inputs!$B$5)+((Inputs!$C$70*SIN((-$B76))-Inputs!$B$70*COS((-$B76)))-Inputs!$B$6)*(L76-Inputs!$B$6))/M76)&lt;$B$16,$B$7/2,$B$8/2)-Inputs!$B$39),IF(OR(Inputs!$C$71=0,((((Inputs!$C$71*COS((-$B76))+Inputs!$B$71*SIN((-$B76)))-Inputs!$B$5)*(K76-Inputs!$B$5)+((Inputs!$C$71*SIN((-$B76))-Inputs!$B$71*COS((-$B76)))-Inputs!$B$6)*(L76-Inputs!$B$6))/M76)&lt;0,((((Inputs!$C$71*COS((-$B76))+Inputs!$B$71*SIN((-$B76)))-Inputs!$B$5)*(K76-Inputs!$B$5)+((Inputs!$C$71*SIN((-$B76))-Inputs!$B$71*COS((-$B76)))-Inputs!$B$6)*(L76-Inputs!$B$6))/M76)&gt;M76-Inputs!$B$40),999,(ABS((K76-Inputs!$B$5)*((Inputs!$C$71*SIN((-$B76))-Inputs!$B$71*COS((-$B76)))-Inputs!$B$6)-(L76-Inputs!$B$6)*((Inputs!$C$71*COS((-$B76))+Inputs!$B$71*SIN((-$B76)))-Inputs!$B$5))/M76)-IF(((((Inputs!$C$71*COS((-$B76))+Inputs!$B$71*SIN((-$B76)))-Inputs!$B$5)*(K76-Inputs!$B$5)+((Inputs!$C$71*SIN((-$B76))-Inputs!$B$71*COS((-$B76)))-Inputs!$B$6)*(L76-Inputs!$B$6))/M76)&lt;$B$16,$B$7/2,$B$8/2)-Inputs!$B$39),IF(OR(Inputs!$C$72=0,((((Inputs!$C$72*COS((-$B76))+Inputs!$B$72*SIN((-$B76)))-Inputs!$B$5)*(K76-Inputs!$B$5)+((Inputs!$C$72*SIN((-$B76))-Inputs!$B$72*COS((-$B76)))-Inputs!$B$6)*(L76-Inputs!$B$6))/M76)&lt;0,((((Inputs!$C$72*COS((-$B76))+Inputs!$B$72*SIN((-$B76)))-Inputs!$B$5)*(K76-Inputs!$B$5)+((Inputs!$C$72*SIN((-$B76))-Inputs!$B$72*COS((-$B76)))-Inputs!$B$6)*(L76-Inputs!$B$6))/M76)&gt;M76-Inputs!$B$40),999,(ABS((K76-Inputs!$B$5)*((Inputs!$C$72*SIN((-$B76))-Inputs!$B$72*COS((-$B76)))-Inputs!$B$6)-(L76-Inputs!$B$6)*((Inputs!$C$72*COS((-$B76))+Inputs!$B$72*SIN((-$B76)))-Inputs!$B$5))/M76)-IF(((((Inputs!$C$72*COS((-$B76))+Inputs!$B$72*SIN((-$B76)))-Inputs!$B$5)*(K76-Inputs!$B$5)+((Inputs!$C$72*SIN((-$B76))-Inputs!$B$72*COS((-$B76)))-Inputs!$B$6)*(L76-Inputs!$B$6))/M76)&lt;$B$16,$B$7/2,$B$8/2)-Inputs!$B$39))</f>
        <v>14.7202126</v>
      </c>
      <c r="P76" s="76">
        <f>IF(AND(M76&gt;=$B$14,M76&lt;=$B$15,N76&lt;=Inputs!$B$38,O76&gt;=0,$D76=1),1,0)</f>
        <v>1</v>
      </c>
    </row>
    <row r="77" ht="15.75" customHeight="1">
      <c r="A77" s="23">
        <v>8.5</v>
      </c>
      <c r="B77" s="40">
        <f t="shared" si="4"/>
        <v>0.1483529864</v>
      </c>
      <c r="C77" s="29">
        <f>MAX(Inputs!$C$68*COS($B77)+Inputs!$B$68*ABS(SIN($B77)),Inputs!$C$69*COS($B77)+Inputs!$B$69*ABS(SIN($B77)),Inputs!$C$70*COS($B77)+Inputs!$B$70*ABS(SIN($B77)),Inputs!$C$71*COS($B77)+Inputs!$B$71*ABS(SIN($B77)),Inputs!$C$72*COS($B77)+Inputs!$B$72*ABS(SIN($B77)))</f>
        <v>137.0606136</v>
      </c>
      <c r="D77" s="71">
        <f>IF(C77&lt;=Inputs!$B$38,1,0)</f>
        <v>1</v>
      </c>
      <c r="E77" s="29">
        <f>Inputs!$B$11*COS(($B77))-Inputs!$B$7*SIN(($B77))</f>
        <v>124.3639978</v>
      </c>
      <c r="F77" s="29">
        <f>Inputs!$B$11*SIN(($B77))+Inputs!$B$7*COS(($B77))</f>
        <v>-183.6349016</v>
      </c>
      <c r="G77" s="29">
        <f>SQRT((E77-Inputs!$B$5)^2+(F77-Inputs!$B$6)^2)</f>
        <v>310.2147038</v>
      </c>
      <c r="H77" s="29">
        <f>MAX(MAX(Inputs!$B$5,(Inputs!$B$5+(E77-Inputs!$B$5)*MIN(1,$B$16/G77)))+$B$7/2,MAX((Inputs!$B$5+(E77-Inputs!$B$5)*MIN(1,$B$16/G77)),E77)+Inputs!$B$41)</f>
        <v>291.8</v>
      </c>
      <c r="I77" s="29">
        <f>MIN(IF(OR(Inputs!$C$68=0,((((Inputs!$C$68*COS(($B77))+Inputs!$B$68*SIN(($B77)))-Inputs!$B$5)*(E77-Inputs!$B$5)+((Inputs!$C$68*SIN(($B77))-Inputs!$B$68*COS(($B77)))-Inputs!$B$6)*(F77-Inputs!$B$6))/G77)&lt;0,((((Inputs!$C$68*COS(($B77))+Inputs!$B$68*SIN(($B77)))-Inputs!$B$5)*(E77-Inputs!$B$5)+((Inputs!$C$68*SIN(($B77))-Inputs!$B$68*COS(($B77)))-Inputs!$B$6)*(F77-Inputs!$B$6))/G77)&gt;G77-Inputs!$B$40),999,(ABS((E77-Inputs!$B$5)*((Inputs!$C$68*SIN(($B77))-Inputs!$B$68*COS(($B77)))-Inputs!$B$6)-(F77-Inputs!$B$6)*((Inputs!$C$68*COS(($B77))+Inputs!$B$68*SIN(($B77)))-Inputs!$B$5))/G77)-IF(((((Inputs!$C$68*COS(($B77))+Inputs!$B$68*SIN(($B77)))-Inputs!$B$5)*(E77-Inputs!$B$5)+((Inputs!$C$68*SIN(($B77))-Inputs!$B$68*COS(($B77)))-Inputs!$B$6)*(F77-Inputs!$B$6))/G77)&lt;$B$16,$B$7/2,$B$8/2)-Inputs!$B$39),IF(OR(Inputs!$C$69=0,((((Inputs!$C$69*COS(($B77))+Inputs!$B$69*SIN(($B77)))-Inputs!$B$5)*(E77-Inputs!$B$5)+((Inputs!$C$69*SIN(($B77))-Inputs!$B$69*COS(($B77)))-Inputs!$B$6)*(F77-Inputs!$B$6))/G77)&lt;0,((((Inputs!$C$69*COS(($B77))+Inputs!$B$69*SIN(($B77)))-Inputs!$B$5)*(E77-Inputs!$B$5)+((Inputs!$C$69*SIN(($B77))-Inputs!$B$69*COS(($B77)))-Inputs!$B$6)*(F77-Inputs!$B$6))/G77)&gt;G77-Inputs!$B$40),999,(ABS((E77-Inputs!$B$5)*((Inputs!$C$69*SIN(($B77))-Inputs!$B$69*COS(($B77)))-Inputs!$B$6)-(F77-Inputs!$B$6)*((Inputs!$C$69*COS(($B77))+Inputs!$B$69*SIN(($B77)))-Inputs!$B$5))/G77)-IF(((((Inputs!$C$69*COS(($B77))+Inputs!$B$69*SIN(($B77)))-Inputs!$B$5)*(E77-Inputs!$B$5)+((Inputs!$C$69*SIN(($B77))-Inputs!$B$69*COS(($B77)))-Inputs!$B$6)*(F77-Inputs!$B$6))/G77)&lt;$B$16,$B$7/2,$B$8/2)-Inputs!$B$39),IF(OR(Inputs!$C$70=0,((((Inputs!$C$70*COS(($B77))+Inputs!$B$70*SIN(($B77)))-Inputs!$B$5)*(E77-Inputs!$B$5)+((Inputs!$C$70*SIN(($B77))-Inputs!$B$70*COS(($B77)))-Inputs!$B$6)*(F77-Inputs!$B$6))/G77)&lt;0,((((Inputs!$C$70*COS(($B77))+Inputs!$B$70*SIN(($B77)))-Inputs!$B$5)*(E77-Inputs!$B$5)+((Inputs!$C$70*SIN(($B77))-Inputs!$B$70*COS(($B77)))-Inputs!$B$6)*(F77-Inputs!$B$6))/G77)&gt;G77-Inputs!$B$40),999,(ABS((E77-Inputs!$B$5)*((Inputs!$C$70*SIN(($B77))-Inputs!$B$70*COS(($B77)))-Inputs!$B$6)-(F77-Inputs!$B$6)*((Inputs!$C$70*COS(($B77))+Inputs!$B$70*SIN(($B77)))-Inputs!$B$5))/G77)-IF(((((Inputs!$C$70*COS(($B77))+Inputs!$B$70*SIN(($B77)))-Inputs!$B$5)*(E77-Inputs!$B$5)+((Inputs!$C$70*SIN(($B77))-Inputs!$B$70*COS(($B77)))-Inputs!$B$6)*(F77-Inputs!$B$6))/G77)&lt;$B$16,$B$7/2,$B$8/2)-Inputs!$B$39),IF(OR(Inputs!$C$71=0,((((Inputs!$C$71*COS(($B77))+Inputs!$B$71*SIN(($B77)))-Inputs!$B$5)*(E77-Inputs!$B$5)+((Inputs!$C$71*SIN(($B77))-Inputs!$B$71*COS(($B77)))-Inputs!$B$6)*(F77-Inputs!$B$6))/G77)&lt;0,((((Inputs!$C$71*COS(($B77))+Inputs!$B$71*SIN(($B77)))-Inputs!$B$5)*(E77-Inputs!$B$5)+((Inputs!$C$71*SIN(($B77))-Inputs!$B$71*COS(($B77)))-Inputs!$B$6)*(F77-Inputs!$B$6))/G77)&gt;G77-Inputs!$B$40),999,(ABS((E77-Inputs!$B$5)*((Inputs!$C$71*SIN(($B77))-Inputs!$B$71*COS(($B77)))-Inputs!$B$6)-(F77-Inputs!$B$6)*((Inputs!$C$71*COS(($B77))+Inputs!$B$71*SIN(($B77)))-Inputs!$B$5))/G77)-IF(((((Inputs!$C$71*COS(($B77))+Inputs!$B$71*SIN(($B77)))-Inputs!$B$5)*(E77-Inputs!$B$5)+((Inputs!$C$71*SIN(($B77))-Inputs!$B$71*COS(($B77)))-Inputs!$B$6)*(F77-Inputs!$B$6))/G77)&lt;$B$16,$B$7/2,$B$8/2)-Inputs!$B$39),IF(OR(Inputs!$C$72=0,((((Inputs!$C$72*COS(($B77))+Inputs!$B$72*SIN(($B77)))-Inputs!$B$5)*(E77-Inputs!$B$5)+((Inputs!$C$72*SIN(($B77))-Inputs!$B$72*COS(($B77)))-Inputs!$B$6)*(F77-Inputs!$B$6))/G77)&lt;0,((((Inputs!$C$72*COS(($B77))+Inputs!$B$72*SIN(($B77)))-Inputs!$B$5)*(E77-Inputs!$B$5)+((Inputs!$C$72*SIN(($B77))-Inputs!$B$72*COS(($B77)))-Inputs!$B$6)*(F77-Inputs!$B$6))/G77)&gt;G77-Inputs!$B$40),999,(ABS((E77-Inputs!$B$5)*((Inputs!$C$72*SIN(($B77))-Inputs!$B$72*COS(($B77)))-Inputs!$B$6)-(F77-Inputs!$B$6)*((Inputs!$C$72*COS(($B77))+Inputs!$B$72*SIN(($B77)))-Inputs!$B$5))/G77)-IF(((((Inputs!$C$72*COS(($B77))+Inputs!$B$72*SIN(($B77)))-Inputs!$B$5)*(E77-Inputs!$B$5)+((Inputs!$C$72*SIN(($B77))-Inputs!$B$72*COS(($B77)))-Inputs!$B$6)*(F77-Inputs!$B$6))/G77)&lt;$B$16,$B$7/2,$B$8/2)-Inputs!$B$39))</f>
        <v>36.0699381</v>
      </c>
      <c r="J77" s="76">
        <f>IF(AND(G77&gt;=$B$14,G77&lt;=$B$15,H77&lt;=Inputs!$B$38,I77&gt;=0,$D77=1),1,0)</f>
        <v>1</v>
      </c>
      <c r="K77" s="29">
        <f>Inputs!$B$11*COS((-$B77))-Inputs!$B$7*SIN((-$B77))</f>
        <v>65.24023336</v>
      </c>
      <c r="L77" s="29">
        <f>Inputs!$B$11*SIN((-$B77))+Inputs!$B$7*COS((-$B77))</f>
        <v>-211.9714438</v>
      </c>
      <c r="M77" s="29">
        <f>SQRT((K77-Inputs!$B$5)^2+(L77-Inputs!$B$6)^2)</f>
        <v>362.5773753</v>
      </c>
      <c r="N77" s="29">
        <f>MAX(MAX(Inputs!$B$5,(Inputs!$B$5+(K77-Inputs!$B$5)*MIN(1,$B$16/M77)))+$B$7/2,MAX((Inputs!$B$5+(K77-Inputs!$B$5)*MIN(1,$B$16/M77)),K77)+Inputs!$B$41)</f>
        <v>291.8</v>
      </c>
      <c r="O77" s="29">
        <f>MIN(IF(OR(Inputs!$C$68=0,((((Inputs!$C$68*COS((-$B77))+Inputs!$B$68*SIN((-$B77)))-Inputs!$B$5)*(K77-Inputs!$B$5)+((Inputs!$C$68*SIN((-$B77))-Inputs!$B$68*COS((-$B77)))-Inputs!$B$6)*(L77-Inputs!$B$6))/M77)&lt;0,((((Inputs!$C$68*COS((-$B77))+Inputs!$B$68*SIN((-$B77)))-Inputs!$B$5)*(K77-Inputs!$B$5)+((Inputs!$C$68*SIN((-$B77))-Inputs!$B$68*COS((-$B77)))-Inputs!$B$6)*(L77-Inputs!$B$6))/M77)&gt;M77-Inputs!$B$40),999,(ABS((K77-Inputs!$B$5)*((Inputs!$C$68*SIN((-$B77))-Inputs!$B$68*COS((-$B77)))-Inputs!$B$6)-(L77-Inputs!$B$6)*((Inputs!$C$68*COS((-$B77))+Inputs!$B$68*SIN((-$B77)))-Inputs!$B$5))/M77)-IF(((((Inputs!$C$68*COS((-$B77))+Inputs!$B$68*SIN((-$B77)))-Inputs!$B$5)*(K77-Inputs!$B$5)+((Inputs!$C$68*SIN((-$B77))-Inputs!$B$68*COS((-$B77)))-Inputs!$B$6)*(L77-Inputs!$B$6))/M77)&lt;$B$16,$B$7/2,$B$8/2)-Inputs!$B$39),IF(OR(Inputs!$C$69=0,((((Inputs!$C$69*COS((-$B77))+Inputs!$B$69*SIN((-$B77)))-Inputs!$B$5)*(K77-Inputs!$B$5)+((Inputs!$C$69*SIN((-$B77))-Inputs!$B$69*COS((-$B77)))-Inputs!$B$6)*(L77-Inputs!$B$6))/M77)&lt;0,((((Inputs!$C$69*COS((-$B77))+Inputs!$B$69*SIN((-$B77)))-Inputs!$B$5)*(K77-Inputs!$B$5)+((Inputs!$C$69*SIN((-$B77))-Inputs!$B$69*COS((-$B77)))-Inputs!$B$6)*(L77-Inputs!$B$6))/M77)&gt;M77-Inputs!$B$40),999,(ABS((K77-Inputs!$B$5)*((Inputs!$C$69*SIN((-$B77))-Inputs!$B$69*COS((-$B77)))-Inputs!$B$6)-(L77-Inputs!$B$6)*((Inputs!$C$69*COS((-$B77))+Inputs!$B$69*SIN((-$B77)))-Inputs!$B$5))/M77)-IF(((((Inputs!$C$69*COS((-$B77))+Inputs!$B$69*SIN((-$B77)))-Inputs!$B$5)*(K77-Inputs!$B$5)+((Inputs!$C$69*SIN((-$B77))-Inputs!$B$69*COS((-$B77)))-Inputs!$B$6)*(L77-Inputs!$B$6))/M77)&lt;$B$16,$B$7/2,$B$8/2)-Inputs!$B$39),IF(OR(Inputs!$C$70=0,((((Inputs!$C$70*COS((-$B77))+Inputs!$B$70*SIN((-$B77)))-Inputs!$B$5)*(K77-Inputs!$B$5)+((Inputs!$C$70*SIN((-$B77))-Inputs!$B$70*COS((-$B77)))-Inputs!$B$6)*(L77-Inputs!$B$6))/M77)&lt;0,((((Inputs!$C$70*COS((-$B77))+Inputs!$B$70*SIN((-$B77)))-Inputs!$B$5)*(K77-Inputs!$B$5)+((Inputs!$C$70*SIN((-$B77))-Inputs!$B$70*COS((-$B77)))-Inputs!$B$6)*(L77-Inputs!$B$6))/M77)&gt;M77-Inputs!$B$40),999,(ABS((K77-Inputs!$B$5)*((Inputs!$C$70*SIN((-$B77))-Inputs!$B$70*COS((-$B77)))-Inputs!$B$6)-(L77-Inputs!$B$6)*((Inputs!$C$70*COS((-$B77))+Inputs!$B$70*SIN((-$B77)))-Inputs!$B$5))/M77)-IF(((((Inputs!$C$70*COS((-$B77))+Inputs!$B$70*SIN((-$B77)))-Inputs!$B$5)*(K77-Inputs!$B$5)+((Inputs!$C$70*SIN((-$B77))-Inputs!$B$70*COS((-$B77)))-Inputs!$B$6)*(L77-Inputs!$B$6))/M77)&lt;$B$16,$B$7/2,$B$8/2)-Inputs!$B$39),IF(OR(Inputs!$C$71=0,((((Inputs!$C$71*COS((-$B77))+Inputs!$B$71*SIN((-$B77)))-Inputs!$B$5)*(K77-Inputs!$B$5)+((Inputs!$C$71*SIN((-$B77))-Inputs!$B$71*COS((-$B77)))-Inputs!$B$6)*(L77-Inputs!$B$6))/M77)&lt;0,((((Inputs!$C$71*COS((-$B77))+Inputs!$B$71*SIN((-$B77)))-Inputs!$B$5)*(K77-Inputs!$B$5)+((Inputs!$C$71*SIN((-$B77))-Inputs!$B$71*COS((-$B77)))-Inputs!$B$6)*(L77-Inputs!$B$6))/M77)&gt;M77-Inputs!$B$40),999,(ABS((K77-Inputs!$B$5)*((Inputs!$C$71*SIN((-$B77))-Inputs!$B$71*COS((-$B77)))-Inputs!$B$6)-(L77-Inputs!$B$6)*((Inputs!$C$71*COS((-$B77))+Inputs!$B$71*SIN((-$B77)))-Inputs!$B$5))/M77)-IF(((((Inputs!$C$71*COS((-$B77))+Inputs!$B$71*SIN((-$B77)))-Inputs!$B$5)*(K77-Inputs!$B$5)+((Inputs!$C$71*SIN((-$B77))-Inputs!$B$71*COS((-$B77)))-Inputs!$B$6)*(L77-Inputs!$B$6))/M77)&lt;$B$16,$B$7/2,$B$8/2)-Inputs!$B$39),IF(OR(Inputs!$C$72=0,((((Inputs!$C$72*COS((-$B77))+Inputs!$B$72*SIN((-$B77)))-Inputs!$B$5)*(K77-Inputs!$B$5)+((Inputs!$C$72*SIN((-$B77))-Inputs!$B$72*COS((-$B77)))-Inputs!$B$6)*(L77-Inputs!$B$6))/M77)&lt;0,((((Inputs!$C$72*COS((-$B77))+Inputs!$B$72*SIN((-$B77)))-Inputs!$B$5)*(K77-Inputs!$B$5)+((Inputs!$C$72*SIN((-$B77))-Inputs!$B$72*COS((-$B77)))-Inputs!$B$6)*(L77-Inputs!$B$6))/M77)&gt;M77-Inputs!$B$40),999,(ABS((K77-Inputs!$B$5)*((Inputs!$C$72*SIN((-$B77))-Inputs!$B$72*COS((-$B77)))-Inputs!$B$6)-(L77-Inputs!$B$6)*((Inputs!$C$72*COS((-$B77))+Inputs!$B$72*SIN((-$B77)))-Inputs!$B$5))/M77)-IF(((((Inputs!$C$72*COS((-$B77))+Inputs!$B$72*SIN((-$B77)))-Inputs!$B$5)*(K77-Inputs!$B$5)+((Inputs!$C$72*SIN((-$B77))-Inputs!$B$72*COS((-$B77)))-Inputs!$B$6)*(L77-Inputs!$B$6))/M77)&lt;$B$16,$B$7/2,$B$8/2)-Inputs!$B$39))</f>
        <v>14.39395161</v>
      </c>
      <c r="P77" s="76">
        <f>IF(AND(M77&gt;=$B$14,M77&lt;=$B$15,N77&lt;=Inputs!$B$38,O77&gt;=0,$D77=1),1,0)</f>
        <v>1</v>
      </c>
    </row>
    <row r="78" ht="15.75" customHeight="1">
      <c r="A78" s="23">
        <v>8.75</v>
      </c>
      <c r="B78" s="40">
        <f t="shared" si="4"/>
        <v>0.1527163095</v>
      </c>
      <c r="C78" s="29">
        <f>MAX(Inputs!$C$68*COS($B78)+Inputs!$B$68*ABS(SIN($B78)),Inputs!$C$69*COS($B78)+Inputs!$B$69*ABS(SIN($B78)),Inputs!$C$70*COS($B78)+Inputs!$B$70*ABS(SIN($B78)),Inputs!$C$71*COS($B78)+Inputs!$B$71*ABS(SIN($B78)),Inputs!$C$72*COS($B78)+Inputs!$B$72*ABS(SIN($B78)))</f>
        <v>138.7288067</v>
      </c>
      <c r="D78" s="71">
        <f>IF(C78&lt;=Inputs!$B$38,1,0)</f>
        <v>1</v>
      </c>
      <c r="E78" s="29">
        <f>Inputs!$B$11*COS(($B78))-Inputs!$B$7*SIN(($B78))</f>
        <v>125.1640698</v>
      </c>
      <c r="F78" s="29">
        <f>Inputs!$B$11*SIN(($B78))+Inputs!$B$7*COS(($B78))</f>
        <v>-183.0905149</v>
      </c>
      <c r="G78" s="29">
        <f>SQRT((E78-Inputs!$B$5)^2+(F78-Inputs!$B$6)^2)</f>
        <v>309.3933566</v>
      </c>
      <c r="H78" s="29">
        <f>MAX(MAX(Inputs!$B$5,(Inputs!$B$5+(E78-Inputs!$B$5)*MIN(1,$B$16/G78)))+$B$7/2,MAX((Inputs!$B$5+(E78-Inputs!$B$5)*MIN(1,$B$16/G78)),E78)+Inputs!$B$41)</f>
        <v>291.8</v>
      </c>
      <c r="I78" s="29">
        <f>MIN(IF(OR(Inputs!$C$68=0,((((Inputs!$C$68*COS(($B78))+Inputs!$B$68*SIN(($B78)))-Inputs!$B$5)*(E78-Inputs!$B$5)+((Inputs!$C$68*SIN(($B78))-Inputs!$B$68*COS(($B78)))-Inputs!$B$6)*(F78-Inputs!$B$6))/G78)&lt;0,((((Inputs!$C$68*COS(($B78))+Inputs!$B$68*SIN(($B78)))-Inputs!$B$5)*(E78-Inputs!$B$5)+((Inputs!$C$68*SIN(($B78))-Inputs!$B$68*COS(($B78)))-Inputs!$B$6)*(F78-Inputs!$B$6))/G78)&gt;G78-Inputs!$B$40),999,(ABS((E78-Inputs!$B$5)*((Inputs!$C$68*SIN(($B78))-Inputs!$B$68*COS(($B78)))-Inputs!$B$6)-(F78-Inputs!$B$6)*((Inputs!$C$68*COS(($B78))+Inputs!$B$68*SIN(($B78)))-Inputs!$B$5))/G78)-IF(((((Inputs!$C$68*COS(($B78))+Inputs!$B$68*SIN(($B78)))-Inputs!$B$5)*(E78-Inputs!$B$5)+((Inputs!$C$68*SIN(($B78))-Inputs!$B$68*COS(($B78)))-Inputs!$B$6)*(F78-Inputs!$B$6))/G78)&lt;$B$16,$B$7/2,$B$8/2)-Inputs!$B$39),IF(OR(Inputs!$C$69=0,((((Inputs!$C$69*COS(($B78))+Inputs!$B$69*SIN(($B78)))-Inputs!$B$5)*(E78-Inputs!$B$5)+((Inputs!$C$69*SIN(($B78))-Inputs!$B$69*COS(($B78)))-Inputs!$B$6)*(F78-Inputs!$B$6))/G78)&lt;0,((((Inputs!$C$69*COS(($B78))+Inputs!$B$69*SIN(($B78)))-Inputs!$B$5)*(E78-Inputs!$B$5)+((Inputs!$C$69*SIN(($B78))-Inputs!$B$69*COS(($B78)))-Inputs!$B$6)*(F78-Inputs!$B$6))/G78)&gt;G78-Inputs!$B$40),999,(ABS((E78-Inputs!$B$5)*((Inputs!$C$69*SIN(($B78))-Inputs!$B$69*COS(($B78)))-Inputs!$B$6)-(F78-Inputs!$B$6)*((Inputs!$C$69*COS(($B78))+Inputs!$B$69*SIN(($B78)))-Inputs!$B$5))/G78)-IF(((((Inputs!$C$69*COS(($B78))+Inputs!$B$69*SIN(($B78)))-Inputs!$B$5)*(E78-Inputs!$B$5)+((Inputs!$C$69*SIN(($B78))-Inputs!$B$69*COS(($B78)))-Inputs!$B$6)*(F78-Inputs!$B$6))/G78)&lt;$B$16,$B$7/2,$B$8/2)-Inputs!$B$39),IF(OR(Inputs!$C$70=0,((((Inputs!$C$70*COS(($B78))+Inputs!$B$70*SIN(($B78)))-Inputs!$B$5)*(E78-Inputs!$B$5)+((Inputs!$C$70*SIN(($B78))-Inputs!$B$70*COS(($B78)))-Inputs!$B$6)*(F78-Inputs!$B$6))/G78)&lt;0,((((Inputs!$C$70*COS(($B78))+Inputs!$B$70*SIN(($B78)))-Inputs!$B$5)*(E78-Inputs!$B$5)+((Inputs!$C$70*SIN(($B78))-Inputs!$B$70*COS(($B78)))-Inputs!$B$6)*(F78-Inputs!$B$6))/G78)&gt;G78-Inputs!$B$40),999,(ABS((E78-Inputs!$B$5)*((Inputs!$C$70*SIN(($B78))-Inputs!$B$70*COS(($B78)))-Inputs!$B$6)-(F78-Inputs!$B$6)*((Inputs!$C$70*COS(($B78))+Inputs!$B$70*SIN(($B78)))-Inputs!$B$5))/G78)-IF(((((Inputs!$C$70*COS(($B78))+Inputs!$B$70*SIN(($B78)))-Inputs!$B$5)*(E78-Inputs!$B$5)+((Inputs!$C$70*SIN(($B78))-Inputs!$B$70*COS(($B78)))-Inputs!$B$6)*(F78-Inputs!$B$6))/G78)&lt;$B$16,$B$7/2,$B$8/2)-Inputs!$B$39),IF(OR(Inputs!$C$71=0,((((Inputs!$C$71*COS(($B78))+Inputs!$B$71*SIN(($B78)))-Inputs!$B$5)*(E78-Inputs!$B$5)+((Inputs!$C$71*SIN(($B78))-Inputs!$B$71*COS(($B78)))-Inputs!$B$6)*(F78-Inputs!$B$6))/G78)&lt;0,((((Inputs!$C$71*COS(($B78))+Inputs!$B$71*SIN(($B78)))-Inputs!$B$5)*(E78-Inputs!$B$5)+((Inputs!$C$71*SIN(($B78))-Inputs!$B$71*COS(($B78)))-Inputs!$B$6)*(F78-Inputs!$B$6))/G78)&gt;G78-Inputs!$B$40),999,(ABS((E78-Inputs!$B$5)*((Inputs!$C$71*SIN(($B78))-Inputs!$B$71*COS(($B78)))-Inputs!$B$6)-(F78-Inputs!$B$6)*((Inputs!$C$71*COS(($B78))+Inputs!$B$71*SIN(($B78)))-Inputs!$B$5))/G78)-IF(((((Inputs!$C$71*COS(($B78))+Inputs!$B$71*SIN(($B78)))-Inputs!$B$5)*(E78-Inputs!$B$5)+((Inputs!$C$71*SIN(($B78))-Inputs!$B$71*COS(($B78)))-Inputs!$B$6)*(F78-Inputs!$B$6))/G78)&lt;$B$16,$B$7/2,$B$8/2)-Inputs!$B$39),IF(OR(Inputs!$C$72=0,((((Inputs!$C$72*COS(($B78))+Inputs!$B$72*SIN(($B78)))-Inputs!$B$5)*(E78-Inputs!$B$5)+((Inputs!$C$72*SIN(($B78))-Inputs!$B$72*COS(($B78)))-Inputs!$B$6)*(F78-Inputs!$B$6))/G78)&lt;0,((((Inputs!$C$72*COS(($B78))+Inputs!$B$72*SIN(($B78)))-Inputs!$B$5)*(E78-Inputs!$B$5)+((Inputs!$C$72*SIN(($B78))-Inputs!$B$72*COS(($B78)))-Inputs!$B$6)*(F78-Inputs!$B$6))/G78)&gt;G78-Inputs!$B$40),999,(ABS((E78-Inputs!$B$5)*((Inputs!$C$72*SIN(($B78))-Inputs!$B$72*COS(($B78)))-Inputs!$B$6)-(F78-Inputs!$B$6)*((Inputs!$C$72*COS(($B78))+Inputs!$B$72*SIN(($B78)))-Inputs!$B$5))/G78)-IF(((((Inputs!$C$72*COS(($B78))+Inputs!$B$72*SIN(($B78)))-Inputs!$B$5)*(E78-Inputs!$B$5)+((Inputs!$C$72*SIN(($B78))-Inputs!$B$72*COS(($B78)))-Inputs!$B$6)*(F78-Inputs!$B$6))/G78)&lt;$B$16,$B$7/2,$B$8/2)-Inputs!$B$39))</f>
        <v>36.38009205</v>
      </c>
      <c r="J78" s="76">
        <f>IF(AND(G78&gt;=$B$14,G78&lt;=$B$15,H78&lt;=Inputs!$B$38,I78&gt;=0,$D78=1),1,0)</f>
        <v>1</v>
      </c>
      <c r="K78" s="29">
        <f>Inputs!$B$11*COS((-$B78))-Inputs!$B$7*SIN((-$B78))</f>
        <v>64.31471535</v>
      </c>
      <c r="L78" s="29">
        <f>Inputs!$B$11*SIN((-$B78))+Inputs!$B$7*COS((-$B78))</f>
        <v>-212.2540893</v>
      </c>
      <c r="M78" s="29">
        <f>SQRT((K78-Inputs!$B$5)^2+(L78-Inputs!$B$6)^2)</f>
        <v>363.2927762</v>
      </c>
      <c r="N78" s="29">
        <f>MAX(MAX(Inputs!$B$5,(Inputs!$B$5+(K78-Inputs!$B$5)*MIN(1,$B$16/M78)))+$B$7/2,MAX((Inputs!$B$5+(K78-Inputs!$B$5)*MIN(1,$B$16/M78)),K78)+Inputs!$B$41)</f>
        <v>291.8</v>
      </c>
      <c r="O78" s="29">
        <f>MIN(IF(OR(Inputs!$C$68=0,((((Inputs!$C$68*COS((-$B78))+Inputs!$B$68*SIN((-$B78)))-Inputs!$B$5)*(K78-Inputs!$B$5)+((Inputs!$C$68*SIN((-$B78))-Inputs!$B$68*COS((-$B78)))-Inputs!$B$6)*(L78-Inputs!$B$6))/M78)&lt;0,((((Inputs!$C$68*COS((-$B78))+Inputs!$B$68*SIN((-$B78)))-Inputs!$B$5)*(K78-Inputs!$B$5)+((Inputs!$C$68*SIN((-$B78))-Inputs!$B$68*COS((-$B78)))-Inputs!$B$6)*(L78-Inputs!$B$6))/M78)&gt;M78-Inputs!$B$40),999,(ABS((K78-Inputs!$B$5)*((Inputs!$C$68*SIN((-$B78))-Inputs!$B$68*COS((-$B78)))-Inputs!$B$6)-(L78-Inputs!$B$6)*((Inputs!$C$68*COS((-$B78))+Inputs!$B$68*SIN((-$B78)))-Inputs!$B$5))/M78)-IF(((((Inputs!$C$68*COS((-$B78))+Inputs!$B$68*SIN((-$B78)))-Inputs!$B$5)*(K78-Inputs!$B$5)+((Inputs!$C$68*SIN((-$B78))-Inputs!$B$68*COS((-$B78)))-Inputs!$B$6)*(L78-Inputs!$B$6))/M78)&lt;$B$16,$B$7/2,$B$8/2)-Inputs!$B$39),IF(OR(Inputs!$C$69=0,((((Inputs!$C$69*COS((-$B78))+Inputs!$B$69*SIN((-$B78)))-Inputs!$B$5)*(K78-Inputs!$B$5)+((Inputs!$C$69*SIN((-$B78))-Inputs!$B$69*COS((-$B78)))-Inputs!$B$6)*(L78-Inputs!$B$6))/M78)&lt;0,((((Inputs!$C$69*COS((-$B78))+Inputs!$B$69*SIN((-$B78)))-Inputs!$B$5)*(K78-Inputs!$B$5)+((Inputs!$C$69*SIN((-$B78))-Inputs!$B$69*COS((-$B78)))-Inputs!$B$6)*(L78-Inputs!$B$6))/M78)&gt;M78-Inputs!$B$40),999,(ABS((K78-Inputs!$B$5)*((Inputs!$C$69*SIN((-$B78))-Inputs!$B$69*COS((-$B78)))-Inputs!$B$6)-(L78-Inputs!$B$6)*((Inputs!$C$69*COS((-$B78))+Inputs!$B$69*SIN((-$B78)))-Inputs!$B$5))/M78)-IF(((((Inputs!$C$69*COS((-$B78))+Inputs!$B$69*SIN((-$B78)))-Inputs!$B$5)*(K78-Inputs!$B$5)+((Inputs!$C$69*SIN((-$B78))-Inputs!$B$69*COS((-$B78)))-Inputs!$B$6)*(L78-Inputs!$B$6))/M78)&lt;$B$16,$B$7/2,$B$8/2)-Inputs!$B$39),IF(OR(Inputs!$C$70=0,((((Inputs!$C$70*COS((-$B78))+Inputs!$B$70*SIN((-$B78)))-Inputs!$B$5)*(K78-Inputs!$B$5)+((Inputs!$C$70*SIN((-$B78))-Inputs!$B$70*COS((-$B78)))-Inputs!$B$6)*(L78-Inputs!$B$6))/M78)&lt;0,((((Inputs!$C$70*COS((-$B78))+Inputs!$B$70*SIN((-$B78)))-Inputs!$B$5)*(K78-Inputs!$B$5)+((Inputs!$C$70*SIN((-$B78))-Inputs!$B$70*COS((-$B78)))-Inputs!$B$6)*(L78-Inputs!$B$6))/M78)&gt;M78-Inputs!$B$40),999,(ABS((K78-Inputs!$B$5)*((Inputs!$C$70*SIN((-$B78))-Inputs!$B$70*COS((-$B78)))-Inputs!$B$6)-(L78-Inputs!$B$6)*((Inputs!$C$70*COS((-$B78))+Inputs!$B$70*SIN((-$B78)))-Inputs!$B$5))/M78)-IF(((((Inputs!$C$70*COS((-$B78))+Inputs!$B$70*SIN((-$B78)))-Inputs!$B$5)*(K78-Inputs!$B$5)+((Inputs!$C$70*SIN((-$B78))-Inputs!$B$70*COS((-$B78)))-Inputs!$B$6)*(L78-Inputs!$B$6))/M78)&lt;$B$16,$B$7/2,$B$8/2)-Inputs!$B$39),IF(OR(Inputs!$C$71=0,((((Inputs!$C$71*COS((-$B78))+Inputs!$B$71*SIN((-$B78)))-Inputs!$B$5)*(K78-Inputs!$B$5)+((Inputs!$C$71*SIN((-$B78))-Inputs!$B$71*COS((-$B78)))-Inputs!$B$6)*(L78-Inputs!$B$6))/M78)&lt;0,((((Inputs!$C$71*COS((-$B78))+Inputs!$B$71*SIN((-$B78)))-Inputs!$B$5)*(K78-Inputs!$B$5)+((Inputs!$C$71*SIN((-$B78))-Inputs!$B$71*COS((-$B78)))-Inputs!$B$6)*(L78-Inputs!$B$6))/M78)&gt;M78-Inputs!$B$40),999,(ABS((K78-Inputs!$B$5)*((Inputs!$C$71*SIN((-$B78))-Inputs!$B$71*COS((-$B78)))-Inputs!$B$6)-(L78-Inputs!$B$6)*((Inputs!$C$71*COS((-$B78))+Inputs!$B$71*SIN((-$B78)))-Inputs!$B$5))/M78)-IF(((((Inputs!$C$71*COS((-$B78))+Inputs!$B$71*SIN((-$B78)))-Inputs!$B$5)*(K78-Inputs!$B$5)+((Inputs!$C$71*SIN((-$B78))-Inputs!$B$71*COS((-$B78)))-Inputs!$B$6)*(L78-Inputs!$B$6))/M78)&lt;$B$16,$B$7/2,$B$8/2)-Inputs!$B$39),IF(OR(Inputs!$C$72=0,((((Inputs!$C$72*COS((-$B78))+Inputs!$B$72*SIN((-$B78)))-Inputs!$B$5)*(K78-Inputs!$B$5)+((Inputs!$C$72*SIN((-$B78))-Inputs!$B$72*COS((-$B78)))-Inputs!$B$6)*(L78-Inputs!$B$6))/M78)&lt;0,((((Inputs!$C$72*COS((-$B78))+Inputs!$B$72*SIN((-$B78)))-Inputs!$B$5)*(K78-Inputs!$B$5)+((Inputs!$C$72*SIN((-$B78))-Inputs!$B$72*COS((-$B78)))-Inputs!$B$6)*(L78-Inputs!$B$6))/M78)&gt;M78-Inputs!$B$40),999,(ABS((K78-Inputs!$B$5)*((Inputs!$C$72*SIN((-$B78))-Inputs!$B$72*COS((-$B78)))-Inputs!$B$6)-(L78-Inputs!$B$6)*((Inputs!$C$72*COS((-$B78))+Inputs!$B$72*SIN((-$B78)))-Inputs!$B$5))/M78)-IF(((((Inputs!$C$72*COS((-$B78))+Inputs!$B$72*SIN((-$B78)))-Inputs!$B$5)*(K78-Inputs!$B$5)+((Inputs!$C$72*SIN((-$B78))-Inputs!$B$72*COS((-$B78)))-Inputs!$B$6)*(L78-Inputs!$B$6))/M78)&lt;$B$16,$B$7/2,$B$8/2)-Inputs!$B$39))</f>
        <v>14.0674943</v>
      </c>
      <c r="P78" s="76">
        <f>IF(AND(M78&gt;=$B$14,M78&lt;=$B$15,N78&lt;=Inputs!$B$38,O78&gt;=0,$D78=1),1,0)</f>
        <v>1</v>
      </c>
    </row>
    <row r="79" ht="15.75" customHeight="1">
      <c r="A79" s="23">
        <v>9.0</v>
      </c>
      <c r="B79" s="40">
        <f t="shared" si="4"/>
        <v>0.1570796327</v>
      </c>
      <c r="C79" s="29">
        <f>MAX(Inputs!$C$68*COS($B79)+Inputs!$B$68*ABS(SIN($B79)),Inputs!$C$69*COS($B79)+Inputs!$B$69*ABS(SIN($B79)),Inputs!$C$70*COS($B79)+Inputs!$B$70*ABS(SIN($B79)),Inputs!$C$71*COS($B79)+Inputs!$B$71*ABS(SIN($B79)),Inputs!$C$72*COS($B79)+Inputs!$B$72*ABS(SIN($B79)))</f>
        <v>140.3943586</v>
      </c>
      <c r="D79" s="71">
        <f>IF(C79&lt;=Inputs!$B$38,1,0)</f>
        <v>1</v>
      </c>
      <c r="E79" s="29">
        <f>Inputs!$B$11*COS(($B79))-Inputs!$B$7*SIN(($B79))</f>
        <v>125.9617589</v>
      </c>
      <c r="F79" s="29">
        <f>Inputs!$B$11*SIN(($B79))+Inputs!$B$7*COS(($B79))</f>
        <v>-182.5426425</v>
      </c>
      <c r="G79" s="29">
        <f>SQRT((E79-Inputs!$B$5)^2+(F79-Inputs!$B$6)^2)</f>
        <v>308.5706241</v>
      </c>
      <c r="H79" s="29">
        <f>MAX(MAX(Inputs!$B$5,(Inputs!$B$5+(E79-Inputs!$B$5)*MIN(1,$B$16/G79)))+$B$7/2,MAX((Inputs!$B$5+(E79-Inputs!$B$5)*MIN(1,$B$16/G79)),E79)+Inputs!$B$41)</f>
        <v>291.8</v>
      </c>
      <c r="I79" s="29">
        <f>MIN(IF(OR(Inputs!$C$68=0,((((Inputs!$C$68*COS(($B79))+Inputs!$B$68*SIN(($B79)))-Inputs!$B$5)*(E79-Inputs!$B$5)+((Inputs!$C$68*SIN(($B79))-Inputs!$B$68*COS(($B79)))-Inputs!$B$6)*(F79-Inputs!$B$6))/G79)&lt;0,((((Inputs!$C$68*COS(($B79))+Inputs!$B$68*SIN(($B79)))-Inputs!$B$5)*(E79-Inputs!$B$5)+((Inputs!$C$68*SIN(($B79))-Inputs!$B$68*COS(($B79)))-Inputs!$B$6)*(F79-Inputs!$B$6))/G79)&gt;G79-Inputs!$B$40),999,(ABS((E79-Inputs!$B$5)*((Inputs!$C$68*SIN(($B79))-Inputs!$B$68*COS(($B79)))-Inputs!$B$6)-(F79-Inputs!$B$6)*((Inputs!$C$68*COS(($B79))+Inputs!$B$68*SIN(($B79)))-Inputs!$B$5))/G79)-IF(((((Inputs!$C$68*COS(($B79))+Inputs!$B$68*SIN(($B79)))-Inputs!$B$5)*(E79-Inputs!$B$5)+((Inputs!$C$68*SIN(($B79))-Inputs!$B$68*COS(($B79)))-Inputs!$B$6)*(F79-Inputs!$B$6))/G79)&lt;$B$16,$B$7/2,$B$8/2)-Inputs!$B$39),IF(OR(Inputs!$C$69=0,((((Inputs!$C$69*COS(($B79))+Inputs!$B$69*SIN(($B79)))-Inputs!$B$5)*(E79-Inputs!$B$5)+((Inputs!$C$69*SIN(($B79))-Inputs!$B$69*COS(($B79)))-Inputs!$B$6)*(F79-Inputs!$B$6))/G79)&lt;0,((((Inputs!$C$69*COS(($B79))+Inputs!$B$69*SIN(($B79)))-Inputs!$B$5)*(E79-Inputs!$B$5)+((Inputs!$C$69*SIN(($B79))-Inputs!$B$69*COS(($B79)))-Inputs!$B$6)*(F79-Inputs!$B$6))/G79)&gt;G79-Inputs!$B$40),999,(ABS((E79-Inputs!$B$5)*((Inputs!$C$69*SIN(($B79))-Inputs!$B$69*COS(($B79)))-Inputs!$B$6)-(F79-Inputs!$B$6)*((Inputs!$C$69*COS(($B79))+Inputs!$B$69*SIN(($B79)))-Inputs!$B$5))/G79)-IF(((((Inputs!$C$69*COS(($B79))+Inputs!$B$69*SIN(($B79)))-Inputs!$B$5)*(E79-Inputs!$B$5)+((Inputs!$C$69*SIN(($B79))-Inputs!$B$69*COS(($B79)))-Inputs!$B$6)*(F79-Inputs!$B$6))/G79)&lt;$B$16,$B$7/2,$B$8/2)-Inputs!$B$39),IF(OR(Inputs!$C$70=0,((((Inputs!$C$70*COS(($B79))+Inputs!$B$70*SIN(($B79)))-Inputs!$B$5)*(E79-Inputs!$B$5)+((Inputs!$C$70*SIN(($B79))-Inputs!$B$70*COS(($B79)))-Inputs!$B$6)*(F79-Inputs!$B$6))/G79)&lt;0,((((Inputs!$C$70*COS(($B79))+Inputs!$B$70*SIN(($B79)))-Inputs!$B$5)*(E79-Inputs!$B$5)+((Inputs!$C$70*SIN(($B79))-Inputs!$B$70*COS(($B79)))-Inputs!$B$6)*(F79-Inputs!$B$6))/G79)&gt;G79-Inputs!$B$40),999,(ABS((E79-Inputs!$B$5)*((Inputs!$C$70*SIN(($B79))-Inputs!$B$70*COS(($B79)))-Inputs!$B$6)-(F79-Inputs!$B$6)*((Inputs!$C$70*COS(($B79))+Inputs!$B$70*SIN(($B79)))-Inputs!$B$5))/G79)-IF(((((Inputs!$C$70*COS(($B79))+Inputs!$B$70*SIN(($B79)))-Inputs!$B$5)*(E79-Inputs!$B$5)+((Inputs!$C$70*SIN(($B79))-Inputs!$B$70*COS(($B79)))-Inputs!$B$6)*(F79-Inputs!$B$6))/G79)&lt;$B$16,$B$7/2,$B$8/2)-Inputs!$B$39),IF(OR(Inputs!$C$71=0,((((Inputs!$C$71*COS(($B79))+Inputs!$B$71*SIN(($B79)))-Inputs!$B$5)*(E79-Inputs!$B$5)+((Inputs!$C$71*SIN(($B79))-Inputs!$B$71*COS(($B79)))-Inputs!$B$6)*(F79-Inputs!$B$6))/G79)&lt;0,((((Inputs!$C$71*COS(($B79))+Inputs!$B$71*SIN(($B79)))-Inputs!$B$5)*(E79-Inputs!$B$5)+((Inputs!$C$71*SIN(($B79))-Inputs!$B$71*COS(($B79)))-Inputs!$B$6)*(F79-Inputs!$B$6))/G79)&gt;G79-Inputs!$B$40),999,(ABS((E79-Inputs!$B$5)*((Inputs!$C$71*SIN(($B79))-Inputs!$B$71*COS(($B79)))-Inputs!$B$6)-(F79-Inputs!$B$6)*((Inputs!$C$71*COS(($B79))+Inputs!$B$71*SIN(($B79)))-Inputs!$B$5))/G79)-IF(((((Inputs!$C$71*COS(($B79))+Inputs!$B$71*SIN(($B79)))-Inputs!$B$5)*(E79-Inputs!$B$5)+((Inputs!$C$71*SIN(($B79))-Inputs!$B$71*COS(($B79)))-Inputs!$B$6)*(F79-Inputs!$B$6))/G79)&lt;$B$16,$B$7/2,$B$8/2)-Inputs!$B$39),IF(OR(Inputs!$C$72=0,((((Inputs!$C$72*COS(($B79))+Inputs!$B$72*SIN(($B79)))-Inputs!$B$5)*(E79-Inputs!$B$5)+((Inputs!$C$72*SIN(($B79))-Inputs!$B$72*COS(($B79)))-Inputs!$B$6)*(F79-Inputs!$B$6))/G79)&lt;0,((((Inputs!$C$72*COS(($B79))+Inputs!$B$72*SIN(($B79)))-Inputs!$B$5)*(E79-Inputs!$B$5)+((Inputs!$C$72*SIN(($B79))-Inputs!$B$72*COS(($B79)))-Inputs!$B$6)*(F79-Inputs!$B$6))/G79)&gt;G79-Inputs!$B$40),999,(ABS((E79-Inputs!$B$5)*((Inputs!$C$72*SIN(($B79))-Inputs!$B$72*COS(($B79)))-Inputs!$B$6)-(F79-Inputs!$B$6)*((Inputs!$C$72*COS(($B79))+Inputs!$B$72*SIN(($B79)))-Inputs!$B$5))/G79)-IF(((((Inputs!$C$72*COS(($B79))+Inputs!$B$72*SIN(($B79)))-Inputs!$B$5)*(E79-Inputs!$B$5)+((Inputs!$C$72*SIN(($B79))-Inputs!$B$72*COS(($B79)))-Inputs!$B$6)*(F79-Inputs!$B$6))/G79)&lt;$B$16,$B$7/2,$B$8/2)-Inputs!$B$39))</f>
        <v>36.68997111</v>
      </c>
      <c r="J79" s="76">
        <f>IF(AND(G79&gt;=$B$14,G79&lt;=$B$15,H79&lt;=Inputs!$B$38,I79&gt;=0,$D79=1),1,0)</f>
        <v>1</v>
      </c>
      <c r="K79" s="29">
        <f>Inputs!$B$11*COS((-$B79))-Inputs!$B$7*SIN((-$B79))</f>
        <v>63.38797288</v>
      </c>
      <c r="L79" s="29">
        <f>Inputs!$B$11*SIN((-$B79))+Inputs!$B$7*COS((-$B79))</f>
        <v>-212.5326938</v>
      </c>
      <c r="M79" s="29">
        <f>SQRT((K79-Inputs!$B$5)^2+(L79-Inputs!$B$6)^2)</f>
        <v>364.0065018</v>
      </c>
      <c r="N79" s="29">
        <f>MAX(MAX(Inputs!$B$5,(Inputs!$B$5+(K79-Inputs!$B$5)*MIN(1,$B$16/M79)))+$B$7/2,MAX((Inputs!$B$5+(K79-Inputs!$B$5)*MIN(1,$B$16/M79)),K79)+Inputs!$B$41)</f>
        <v>291.8</v>
      </c>
      <c r="O79" s="29">
        <f>MIN(IF(OR(Inputs!$C$68=0,((((Inputs!$C$68*COS((-$B79))+Inputs!$B$68*SIN((-$B79)))-Inputs!$B$5)*(K79-Inputs!$B$5)+((Inputs!$C$68*SIN((-$B79))-Inputs!$B$68*COS((-$B79)))-Inputs!$B$6)*(L79-Inputs!$B$6))/M79)&lt;0,((((Inputs!$C$68*COS((-$B79))+Inputs!$B$68*SIN((-$B79)))-Inputs!$B$5)*(K79-Inputs!$B$5)+((Inputs!$C$68*SIN((-$B79))-Inputs!$B$68*COS((-$B79)))-Inputs!$B$6)*(L79-Inputs!$B$6))/M79)&gt;M79-Inputs!$B$40),999,(ABS((K79-Inputs!$B$5)*((Inputs!$C$68*SIN((-$B79))-Inputs!$B$68*COS((-$B79)))-Inputs!$B$6)-(L79-Inputs!$B$6)*((Inputs!$C$68*COS((-$B79))+Inputs!$B$68*SIN((-$B79)))-Inputs!$B$5))/M79)-IF(((((Inputs!$C$68*COS((-$B79))+Inputs!$B$68*SIN((-$B79)))-Inputs!$B$5)*(K79-Inputs!$B$5)+((Inputs!$C$68*SIN((-$B79))-Inputs!$B$68*COS((-$B79)))-Inputs!$B$6)*(L79-Inputs!$B$6))/M79)&lt;$B$16,$B$7/2,$B$8/2)-Inputs!$B$39),IF(OR(Inputs!$C$69=0,((((Inputs!$C$69*COS((-$B79))+Inputs!$B$69*SIN((-$B79)))-Inputs!$B$5)*(K79-Inputs!$B$5)+((Inputs!$C$69*SIN((-$B79))-Inputs!$B$69*COS((-$B79)))-Inputs!$B$6)*(L79-Inputs!$B$6))/M79)&lt;0,((((Inputs!$C$69*COS((-$B79))+Inputs!$B$69*SIN((-$B79)))-Inputs!$B$5)*(K79-Inputs!$B$5)+((Inputs!$C$69*SIN((-$B79))-Inputs!$B$69*COS((-$B79)))-Inputs!$B$6)*(L79-Inputs!$B$6))/M79)&gt;M79-Inputs!$B$40),999,(ABS((K79-Inputs!$B$5)*((Inputs!$C$69*SIN((-$B79))-Inputs!$B$69*COS((-$B79)))-Inputs!$B$6)-(L79-Inputs!$B$6)*((Inputs!$C$69*COS((-$B79))+Inputs!$B$69*SIN((-$B79)))-Inputs!$B$5))/M79)-IF(((((Inputs!$C$69*COS((-$B79))+Inputs!$B$69*SIN((-$B79)))-Inputs!$B$5)*(K79-Inputs!$B$5)+((Inputs!$C$69*SIN((-$B79))-Inputs!$B$69*COS((-$B79)))-Inputs!$B$6)*(L79-Inputs!$B$6))/M79)&lt;$B$16,$B$7/2,$B$8/2)-Inputs!$B$39),IF(OR(Inputs!$C$70=0,((((Inputs!$C$70*COS((-$B79))+Inputs!$B$70*SIN((-$B79)))-Inputs!$B$5)*(K79-Inputs!$B$5)+((Inputs!$C$70*SIN((-$B79))-Inputs!$B$70*COS((-$B79)))-Inputs!$B$6)*(L79-Inputs!$B$6))/M79)&lt;0,((((Inputs!$C$70*COS((-$B79))+Inputs!$B$70*SIN((-$B79)))-Inputs!$B$5)*(K79-Inputs!$B$5)+((Inputs!$C$70*SIN((-$B79))-Inputs!$B$70*COS((-$B79)))-Inputs!$B$6)*(L79-Inputs!$B$6))/M79)&gt;M79-Inputs!$B$40),999,(ABS((K79-Inputs!$B$5)*((Inputs!$C$70*SIN((-$B79))-Inputs!$B$70*COS((-$B79)))-Inputs!$B$6)-(L79-Inputs!$B$6)*((Inputs!$C$70*COS((-$B79))+Inputs!$B$70*SIN((-$B79)))-Inputs!$B$5))/M79)-IF(((((Inputs!$C$70*COS((-$B79))+Inputs!$B$70*SIN((-$B79)))-Inputs!$B$5)*(K79-Inputs!$B$5)+((Inputs!$C$70*SIN((-$B79))-Inputs!$B$70*COS((-$B79)))-Inputs!$B$6)*(L79-Inputs!$B$6))/M79)&lt;$B$16,$B$7/2,$B$8/2)-Inputs!$B$39),IF(OR(Inputs!$C$71=0,((((Inputs!$C$71*COS((-$B79))+Inputs!$B$71*SIN((-$B79)))-Inputs!$B$5)*(K79-Inputs!$B$5)+((Inputs!$C$71*SIN((-$B79))-Inputs!$B$71*COS((-$B79)))-Inputs!$B$6)*(L79-Inputs!$B$6))/M79)&lt;0,((((Inputs!$C$71*COS((-$B79))+Inputs!$B$71*SIN((-$B79)))-Inputs!$B$5)*(K79-Inputs!$B$5)+((Inputs!$C$71*SIN((-$B79))-Inputs!$B$71*COS((-$B79)))-Inputs!$B$6)*(L79-Inputs!$B$6))/M79)&gt;M79-Inputs!$B$40),999,(ABS((K79-Inputs!$B$5)*((Inputs!$C$71*SIN((-$B79))-Inputs!$B$71*COS((-$B79)))-Inputs!$B$6)-(L79-Inputs!$B$6)*((Inputs!$C$71*COS((-$B79))+Inputs!$B$71*SIN((-$B79)))-Inputs!$B$5))/M79)-IF(((((Inputs!$C$71*COS((-$B79))+Inputs!$B$71*SIN((-$B79)))-Inputs!$B$5)*(K79-Inputs!$B$5)+((Inputs!$C$71*SIN((-$B79))-Inputs!$B$71*COS((-$B79)))-Inputs!$B$6)*(L79-Inputs!$B$6))/M79)&lt;$B$16,$B$7/2,$B$8/2)-Inputs!$B$39),IF(OR(Inputs!$C$72=0,((((Inputs!$C$72*COS((-$B79))+Inputs!$B$72*SIN((-$B79)))-Inputs!$B$5)*(K79-Inputs!$B$5)+((Inputs!$C$72*SIN((-$B79))-Inputs!$B$72*COS((-$B79)))-Inputs!$B$6)*(L79-Inputs!$B$6))/M79)&lt;0,((((Inputs!$C$72*COS((-$B79))+Inputs!$B$72*SIN((-$B79)))-Inputs!$B$5)*(K79-Inputs!$B$5)+((Inputs!$C$72*SIN((-$B79))-Inputs!$B$72*COS((-$B79)))-Inputs!$B$6)*(L79-Inputs!$B$6))/M79)&gt;M79-Inputs!$B$40),999,(ABS((K79-Inputs!$B$5)*((Inputs!$C$72*SIN((-$B79))-Inputs!$B$72*COS((-$B79)))-Inputs!$B$6)-(L79-Inputs!$B$6)*((Inputs!$C$72*COS((-$B79))+Inputs!$B$72*SIN((-$B79)))-Inputs!$B$5))/M79)-IF(((((Inputs!$C$72*COS((-$B79))+Inputs!$B$72*SIN((-$B79)))-Inputs!$B$5)*(K79-Inputs!$B$5)+((Inputs!$C$72*SIN((-$B79))-Inputs!$B$72*COS((-$B79)))-Inputs!$B$6)*(L79-Inputs!$B$6))/M79)&lt;$B$16,$B$7/2,$B$8/2)-Inputs!$B$39))</f>
        <v>13.74084192</v>
      </c>
      <c r="P79" s="76">
        <f>IF(AND(M79&gt;=$B$14,M79&lt;=$B$15,N79&lt;=Inputs!$B$38,O79&gt;=0,$D79=1),1,0)</f>
        <v>1</v>
      </c>
    </row>
    <row r="80" ht="15.75" customHeight="1">
      <c r="A80" s="23">
        <v>9.25</v>
      </c>
      <c r="B80" s="40">
        <f t="shared" si="4"/>
        <v>0.1614429558</v>
      </c>
      <c r="C80" s="29">
        <f>MAX(Inputs!$C$68*COS($B80)+Inputs!$B$68*ABS(SIN($B80)),Inputs!$C$69*COS($B80)+Inputs!$B$69*ABS(SIN($B80)),Inputs!$C$70*COS($B80)+Inputs!$B$70*ABS(SIN($B80)),Inputs!$C$71*COS($B80)+Inputs!$B$71*ABS(SIN($B80)),Inputs!$C$72*COS($B80)+Inputs!$B$72*ABS(SIN($B80)))</f>
        <v>142.0572375</v>
      </c>
      <c r="D80" s="71">
        <f>IF(C80&lt;=Inputs!$B$38,1,0)</f>
        <v>1</v>
      </c>
      <c r="E80" s="29">
        <f>Inputs!$B$11*COS(($B80))-Inputs!$B$7*SIN(($B80))</f>
        <v>126.7570498</v>
      </c>
      <c r="F80" s="29">
        <f>Inputs!$B$11*SIN(($B80))+Inputs!$B$7*COS(($B80))</f>
        <v>-181.9912947</v>
      </c>
      <c r="G80" s="29">
        <f>SQRT((E80-Inputs!$B$5)^2+(F80-Inputs!$B$6)^2)</f>
        <v>307.746511</v>
      </c>
      <c r="H80" s="29">
        <f>MAX(MAX(Inputs!$B$5,(Inputs!$B$5+(E80-Inputs!$B$5)*MIN(1,$B$16/G80)))+$B$7/2,MAX((Inputs!$B$5+(E80-Inputs!$B$5)*MIN(1,$B$16/G80)),E80)+Inputs!$B$41)</f>
        <v>291.8</v>
      </c>
      <c r="I80" s="29">
        <f>MIN(IF(OR(Inputs!$C$68=0,((((Inputs!$C$68*COS(($B80))+Inputs!$B$68*SIN(($B80)))-Inputs!$B$5)*(E80-Inputs!$B$5)+((Inputs!$C$68*SIN(($B80))-Inputs!$B$68*COS(($B80)))-Inputs!$B$6)*(F80-Inputs!$B$6))/G80)&lt;0,((((Inputs!$C$68*COS(($B80))+Inputs!$B$68*SIN(($B80)))-Inputs!$B$5)*(E80-Inputs!$B$5)+((Inputs!$C$68*SIN(($B80))-Inputs!$B$68*COS(($B80)))-Inputs!$B$6)*(F80-Inputs!$B$6))/G80)&gt;G80-Inputs!$B$40),999,(ABS((E80-Inputs!$B$5)*((Inputs!$C$68*SIN(($B80))-Inputs!$B$68*COS(($B80)))-Inputs!$B$6)-(F80-Inputs!$B$6)*((Inputs!$C$68*COS(($B80))+Inputs!$B$68*SIN(($B80)))-Inputs!$B$5))/G80)-IF(((((Inputs!$C$68*COS(($B80))+Inputs!$B$68*SIN(($B80)))-Inputs!$B$5)*(E80-Inputs!$B$5)+((Inputs!$C$68*SIN(($B80))-Inputs!$B$68*COS(($B80)))-Inputs!$B$6)*(F80-Inputs!$B$6))/G80)&lt;$B$16,$B$7/2,$B$8/2)-Inputs!$B$39),IF(OR(Inputs!$C$69=0,((((Inputs!$C$69*COS(($B80))+Inputs!$B$69*SIN(($B80)))-Inputs!$B$5)*(E80-Inputs!$B$5)+((Inputs!$C$69*SIN(($B80))-Inputs!$B$69*COS(($B80)))-Inputs!$B$6)*(F80-Inputs!$B$6))/G80)&lt;0,((((Inputs!$C$69*COS(($B80))+Inputs!$B$69*SIN(($B80)))-Inputs!$B$5)*(E80-Inputs!$B$5)+((Inputs!$C$69*SIN(($B80))-Inputs!$B$69*COS(($B80)))-Inputs!$B$6)*(F80-Inputs!$B$6))/G80)&gt;G80-Inputs!$B$40),999,(ABS((E80-Inputs!$B$5)*((Inputs!$C$69*SIN(($B80))-Inputs!$B$69*COS(($B80)))-Inputs!$B$6)-(F80-Inputs!$B$6)*((Inputs!$C$69*COS(($B80))+Inputs!$B$69*SIN(($B80)))-Inputs!$B$5))/G80)-IF(((((Inputs!$C$69*COS(($B80))+Inputs!$B$69*SIN(($B80)))-Inputs!$B$5)*(E80-Inputs!$B$5)+((Inputs!$C$69*SIN(($B80))-Inputs!$B$69*COS(($B80)))-Inputs!$B$6)*(F80-Inputs!$B$6))/G80)&lt;$B$16,$B$7/2,$B$8/2)-Inputs!$B$39),IF(OR(Inputs!$C$70=0,((((Inputs!$C$70*COS(($B80))+Inputs!$B$70*SIN(($B80)))-Inputs!$B$5)*(E80-Inputs!$B$5)+((Inputs!$C$70*SIN(($B80))-Inputs!$B$70*COS(($B80)))-Inputs!$B$6)*(F80-Inputs!$B$6))/G80)&lt;0,((((Inputs!$C$70*COS(($B80))+Inputs!$B$70*SIN(($B80)))-Inputs!$B$5)*(E80-Inputs!$B$5)+((Inputs!$C$70*SIN(($B80))-Inputs!$B$70*COS(($B80)))-Inputs!$B$6)*(F80-Inputs!$B$6))/G80)&gt;G80-Inputs!$B$40),999,(ABS((E80-Inputs!$B$5)*((Inputs!$C$70*SIN(($B80))-Inputs!$B$70*COS(($B80)))-Inputs!$B$6)-(F80-Inputs!$B$6)*((Inputs!$C$70*COS(($B80))+Inputs!$B$70*SIN(($B80)))-Inputs!$B$5))/G80)-IF(((((Inputs!$C$70*COS(($B80))+Inputs!$B$70*SIN(($B80)))-Inputs!$B$5)*(E80-Inputs!$B$5)+((Inputs!$C$70*SIN(($B80))-Inputs!$B$70*COS(($B80)))-Inputs!$B$6)*(F80-Inputs!$B$6))/G80)&lt;$B$16,$B$7/2,$B$8/2)-Inputs!$B$39),IF(OR(Inputs!$C$71=0,((((Inputs!$C$71*COS(($B80))+Inputs!$B$71*SIN(($B80)))-Inputs!$B$5)*(E80-Inputs!$B$5)+((Inputs!$C$71*SIN(($B80))-Inputs!$B$71*COS(($B80)))-Inputs!$B$6)*(F80-Inputs!$B$6))/G80)&lt;0,((((Inputs!$C$71*COS(($B80))+Inputs!$B$71*SIN(($B80)))-Inputs!$B$5)*(E80-Inputs!$B$5)+((Inputs!$C$71*SIN(($B80))-Inputs!$B$71*COS(($B80)))-Inputs!$B$6)*(F80-Inputs!$B$6))/G80)&gt;G80-Inputs!$B$40),999,(ABS((E80-Inputs!$B$5)*((Inputs!$C$71*SIN(($B80))-Inputs!$B$71*COS(($B80)))-Inputs!$B$6)-(F80-Inputs!$B$6)*((Inputs!$C$71*COS(($B80))+Inputs!$B$71*SIN(($B80)))-Inputs!$B$5))/G80)-IF(((((Inputs!$C$71*COS(($B80))+Inputs!$B$71*SIN(($B80)))-Inputs!$B$5)*(E80-Inputs!$B$5)+((Inputs!$C$71*SIN(($B80))-Inputs!$B$71*COS(($B80)))-Inputs!$B$6)*(F80-Inputs!$B$6))/G80)&lt;$B$16,$B$7/2,$B$8/2)-Inputs!$B$39),IF(OR(Inputs!$C$72=0,((((Inputs!$C$72*COS(($B80))+Inputs!$B$72*SIN(($B80)))-Inputs!$B$5)*(E80-Inputs!$B$5)+((Inputs!$C$72*SIN(($B80))-Inputs!$B$72*COS(($B80)))-Inputs!$B$6)*(F80-Inputs!$B$6))/G80)&lt;0,((((Inputs!$C$72*COS(($B80))+Inputs!$B$72*SIN(($B80)))-Inputs!$B$5)*(E80-Inputs!$B$5)+((Inputs!$C$72*SIN(($B80))-Inputs!$B$72*COS(($B80)))-Inputs!$B$6)*(F80-Inputs!$B$6))/G80)&gt;G80-Inputs!$B$40),999,(ABS((E80-Inputs!$B$5)*((Inputs!$C$72*SIN(($B80))-Inputs!$B$72*COS(($B80)))-Inputs!$B$6)-(F80-Inputs!$B$6)*((Inputs!$C$72*COS(($B80))+Inputs!$B$72*SIN(($B80)))-Inputs!$B$5))/G80)-IF(((((Inputs!$C$72*COS(($B80))+Inputs!$B$72*SIN(($B80)))-Inputs!$B$5)*(E80-Inputs!$B$5)+((Inputs!$C$72*SIN(($B80))-Inputs!$B$72*COS(($B80)))-Inputs!$B$6)*(F80-Inputs!$B$6))/G80)&lt;$B$16,$B$7/2,$B$8/2)-Inputs!$B$39))</f>
        <v>36.99957427</v>
      </c>
      <c r="J80" s="76">
        <f>IF(AND(G80&gt;=$B$14,G80&lt;=$B$15,H80&lt;=Inputs!$B$38,I80&gt;=0,$D80=1),1,0)</f>
        <v>1</v>
      </c>
      <c r="K80" s="29">
        <f>Inputs!$B$11*COS((-$B80))-Inputs!$B$7*SIN((-$B80))</f>
        <v>62.4600236</v>
      </c>
      <c r="L80" s="29">
        <f>Inputs!$B$11*SIN((-$B80))+Inputs!$B$7*COS((-$B80))</f>
        <v>-212.8072519</v>
      </c>
      <c r="M80" s="29">
        <f>SQRT((K80-Inputs!$B$5)^2+(L80-Inputs!$B$6)^2)</f>
        <v>364.7185485</v>
      </c>
      <c r="N80" s="29">
        <f>MAX(MAX(Inputs!$B$5,(Inputs!$B$5+(K80-Inputs!$B$5)*MIN(1,$B$16/M80)))+$B$7/2,MAX((Inputs!$B$5+(K80-Inputs!$B$5)*MIN(1,$B$16/M80)),K80)+Inputs!$B$41)</f>
        <v>291.8</v>
      </c>
      <c r="O80" s="29">
        <f>MIN(IF(OR(Inputs!$C$68=0,((((Inputs!$C$68*COS((-$B80))+Inputs!$B$68*SIN((-$B80)))-Inputs!$B$5)*(K80-Inputs!$B$5)+((Inputs!$C$68*SIN((-$B80))-Inputs!$B$68*COS((-$B80)))-Inputs!$B$6)*(L80-Inputs!$B$6))/M80)&lt;0,((((Inputs!$C$68*COS((-$B80))+Inputs!$B$68*SIN((-$B80)))-Inputs!$B$5)*(K80-Inputs!$B$5)+((Inputs!$C$68*SIN((-$B80))-Inputs!$B$68*COS((-$B80)))-Inputs!$B$6)*(L80-Inputs!$B$6))/M80)&gt;M80-Inputs!$B$40),999,(ABS((K80-Inputs!$B$5)*((Inputs!$C$68*SIN((-$B80))-Inputs!$B$68*COS((-$B80)))-Inputs!$B$6)-(L80-Inputs!$B$6)*((Inputs!$C$68*COS((-$B80))+Inputs!$B$68*SIN((-$B80)))-Inputs!$B$5))/M80)-IF(((((Inputs!$C$68*COS((-$B80))+Inputs!$B$68*SIN((-$B80)))-Inputs!$B$5)*(K80-Inputs!$B$5)+((Inputs!$C$68*SIN((-$B80))-Inputs!$B$68*COS((-$B80)))-Inputs!$B$6)*(L80-Inputs!$B$6))/M80)&lt;$B$16,$B$7/2,$B$8/2)-Inputs!$B$39),IF(OR(Inputs!$C$69=0,((((Inputs!$C$69*COS((-$B80))+Inputs!$B$69*SIN((-$B80)))-Inputs!$B$5)*(K80-Inputs!$B$5)+((Inputs!$C$69*SIN((-$B80))-Inputs!$B$69*COS((-$B80)))-Inputs!$B$6)*(L80-Inputs!$B$6))/M80)&lt;0,((((Inputs!$C$69*COS((-$B80))+Inputs!$B$69*SIN((-$B80)))-Inputs!$B$5)*(K80-Inputs!$B$5)+((Inputs!$C$69*SIN((-$B80))-Inputs!$B$69*COS((-$B80)))-Inputs!$B$6)*(L80-Inputs!$B$6))/M80)&gt;M80-Inputs!$B$40),999,(ABS((K80-Inputs!$B$5)*((Inputs!$C$69*SIN((-$B80))-Inputs!$B$69*COS((-$B80)))-Inputs!$B$6)-(L80-Inputs!$B$6)*((Inputs!$C$69*COS((-$B80))+Inputs!$B$69*SIN((-$B80)))-Inputs!$B$5))/M80)-IF(((((Inputs!$C$69*COS((-$B80))+Inputs!$B$69*SIN((-$B80)))-Inputs!$B$5)*(K80-Inputs!$B$5)+((Inputs!$C$69*SIN((-$B80))-Inputs!$B$69*COS((-$B80)))-Inputs!$B$6)*(L80-Inputs!$B$6))/M80)&lt;$B$16,$B$7/2,$B$8/2)-Inputs!$B$39),IF(OR(Inputs!$C$70=0,((((Inputs!$C$70*COS((-$B80))+Inputs!$B$70*SIN((-$B80)))-Inputs!$B$5)*(K80-Inputs!$B$5)+((Inputs!$C$70*SIN((-$B80))-Inputs!$B$70*COS((-$B80)))-Inputs!$B$6)*(L80-Inputs!$B$6))/M80)&lt;0,((((Inputs!$C$70*COS((-$B80))+Inputs!$B$70*SIN((-$B80)))-Inputs!$B$5)*(K80-Inputs!$B$5)+((Inputs!$C$70*SIN((-$B80))-Inputs!$B$70*COS((-$B80)))-Inputs!$B$6)*(L80-Inputs!$B$6))/M80)&gt;M80-Inputs!$B$40),999,(ABS((K80-Inputs!$B$5)*((Inputs!$C$70*SIN((-$B80))-Inputs!$B$70*COS((-$B80)))-Inputs!$B$6)-(L80-Inputs!$B$6)*((Inputs!$C$70*COS((-$B80))+Inputs!$B$70*SIN((-$B80)))-Inputs!$B$5))/M80)-IF(((((Inputs!$C$70*COS((-$B80))+Inputs!$B$70*SIN((-$B80)))-Inputs!$B$5)*(K80-Inputs!$B$5)+((Inputs!$C$70*SIN((-$B80))-Inputs!$B$70*COS((-$B80)))-Inputs!$B$6)*(L80-Inputs!$B$6))/M80)&lt;$B$16,$B$7/2,$B$8/2)-Inputs!$B$39),IF(OR(Inputs!$C$71=0,((((Inputs!$C$71*COS((-$B80))+Inputs!$B$71*SIN((-$B80)))-Inputs!$B$5)*(K80-Inputs!$B$5)+((Inputs!$C$71*SIN((-$B80))-Inputs!$B$71*COS((-$B80)))-Inputs!$B$6)*(L80-Inputs!$B$6))/M80)&lt;0,((((Inputs!$C$71*COS((-$B80))+Inputs!$B$71*SIN((-$B80)))-Inputs!$B$5)*(K80-Inputs!$B$5)+((Inputs!$C$71*SIN((-$B80))-Inputs!$B$71*COS((-$B80)))-Inputs!$B$6)*(L80-Inputs!$B$6))/M80)&gt;M80-Inputs!$B$40),999,(ABS((K80-Inputs!$B$5)*((Inputs!$C$71*SIN((-$B80))-Inputs!$B$71*COS((-$B80)))-Inputs!$B$6)-(L80-Inputs!$B$6)*((Inputs!$C$71*COS((-$B80))+Inputs!$B$71*SIN((-$B80)))-Inputs!$B$5))/M80)-IF(((((Inputs!$C$71*COS((-$B80))+Inputs!$B$71*SIN((-$B80)))-Inputs!$B$5)*(K80-Inputs!$B$5)+((Inputs!$C$71*SIN((-$B80))-Inputs!$B$71*COS((-$B80)))-Inputs!$B$6)*(L80-Inputs!$B$6))/M80)&lt;$B$16,$B$7/2,$B$8/2)-Inputs!$B$39),IF(OR(Inputs!$C$72=0,((((Inputs!$C$72*COS((-$B80))+Inputs!$B$72*SIN((-$B80)))-Inputs!$B$5)*(K80-Inputs!$B$5)+((Inputs!$C$72*SIN((-$B80))-Inputs!$B$72*COS((-$B80)))-Inputs!$B$6)*(L80-Inputs!$B$6))/M80)&lt;0,((((Inputs!$C$72*COS((-$B80))+Inputs!$B$72*SIN((-$B80)))-Inputs!$B$5)*(K80-Inputs!$B$5)+((Inputs!$C$72*SIN((-$B80))-Inputs!$B$72*COS((-$B80)))-Inputs!$B$6)*(L80-Inputs!$B$6))/M80)&gt;M80-Inputs!$B$40),999,(ABS((K80-Inputs!$B$5)*((Inputs!$C$72*SIN((-$B80))-Inputs!$B$72*COS((-$B80)))-Inputs!$B$6)-(L80-Inputs!$B$6)*((Inputs!$C$72*COS((-$B80))+Inputs!$B$72*SIN((-$B80)))-Inputs!$B$5))/M80)-IF(((((Inputs!$C$72*COS((-$B80))+Inputs!$B$72*SIN((-$B80)))-Inputs!$B$5)*(K80-Inputs!$B$5)+((Inputs!$C$72*SIN((-$B80))-Inputs!$B$72*COS((-$B80)))-Inputs!$B$6)*(L80-Inputs!$B$6))/M80)&lt;$B$16,$B$7/2,$B$8/2)-Inputs!$B$39))</f>
        <v>13.41399572</v>
      </c>
      <c r="P80" s="76">
        <f>IF(AND(M80&gt;=$B$14,M80&lt;=$B$15,N80&lt;=Inputs!$B$38,O80&gt;=0,$D80=1),1,0)</f>
        <v>1</v>
      </c>
    </row>
    <row r="81" ht="15.75" customHeight="1">
      <c r="A81" s="23">
        <v>9.5</v>
      </c>
      <c r="B81" s="40">
        <f t="shared" si="4"/>
        <v>0.1658062789</v>
      </c>
      <c r="C81" s="29">
        <f>MAX(Inputs!$C$68*COS($B81)+Inputs!$B$68*ABS(SIN($B81)),Inputs!$C$69*COS($B81)+Inputs!$B$69*ABS(SIN($B81)),Inputs!$C$70*COS($B81)+Inputs!$B$70*ABS(SIN($B81)),Inputs!$C$71*COS($B81)+Inputs!$B$71*ABS(SIN($B81)),Inputs!$C$72*COS($B81)+Inputs!$B$72*ABS(SIN($B81)))</f>
        <v>143.7174119</v>
      </c>
      <c r="D81" s="71">
        <f>IF(C81&lt;=Inputs!$B$38,1,0)</f>
        <v>1</v>
      </c>
      <c r="E81" s="29">
        <f>Inputs!$B$11*COS(($B81))-Inputs!$B$7*SIN(($B81))</f>
        <v>127.5499275</v>
      </c>
      <c r="F81" s="29">
        <f>Inputs!$B$11*SIN(($B81))+Inputs!$B$7*COS(($B81))</f>
        <v>-181.436482</v>
      </c>
      <c r="G81" s="29">
        <f>SQRT((E81-Inputs!$B$5)^2+(F81-Inputs!$B$6)^2)</f>
        <v>306.9210219</v>
      </c>
      <c r="H81" s="29">
        <f>MAX(MAX(Inputs!$B$5,(Inputs!$B$5+(E81-Inputs!$B$5)*MIN(1,$B$16/G81)))+$B$7/2,MAX((Inputs!$B$5+(E81-Inputs!$B$5)*MIN(1,$B$16/G81)),E81)+Inputs!$B$41)</f>
        <v>291.8</v>
      </c>
      <c r="I81" s="29">
        <f>MIN(IF(OR(Inputs!$C$68=0,((((Inputs!$C$68*COS(($B81))+Inputs!$B$68*SIN(($B81)))-Inputs!$B$5)*(E81-Inputs!$B$5)+((Inputs!$C$68*SIN(($B81))-Inputs!$B$68*COS(($B81)))-Inputs!$B$6)*(F81-Inputs!$B$6))/G81)&lt;0,((((Inputs!$C$68*COS(($B81))+Inputs!$B$68*SIN(($B81)))-Inputs!$B$5)*(E81-Inputs!$B$5)+((Inputs!$C$68*SIN(($B81))-Inputs!$B$68*COS(($B81)))-Inputs!$B$6)*(F81-Inputs!$B$6))/G81)&gt;G81-Inputs!$B$40),999,(ABS((E81-Inputs!$B$5)*((Inputs!$C$68*SIN(($B81))-Inputs!$B$68*COS(($B81)))-Inputs!$B$6)-(F81-Inputs!$B$6)*((Inputs!$C$68*COS(($B81))+Inputs!$B$68*SIN(($B81)))-Inputs!$B$5))/G81)-IF(((((Inputs!$C$68*COS(($B81))+Inputs!$B$68*SIN(($B81)))-Inputs!$B$5)*(E81-Inputs!$B$5)+((Inputs!$C$68*SIN(($B81))-Inputs!$B$68*COS(($B81)))-Inputs!$B$6)*(F81-Inputs!$B$6))/G81)&lt;$B$16,$B$7/2,$B$8/2)-Inputs!$B$39),IF(OR(Inputs!$C$69=0,((((Inputs!$C$69*COS(($B81))+Inputs!$B$69*SIN(($B81)))-Inputs!$B$5)*(E81-Inputs!$B$5)+((Inputs!$C$69*SIN(($B81))-Inputs!$B$69*COS(($B81)))-Inputs!$B$6)*(F81-Inputs!$B$6))/G81)&lt;0,((((Inputs!$C$69*COS(($B81))+Inputs!$B$69*SIN(($B81)))-Inputs!$B$5)*(E81-Inputs!$B$5)+((Inputs!$C$69*SIN(($B81))-Inputs!$B$69*COS(($B81)))-Inputs!$B$6)*(F81-Inputs!$B$6))/G81)&gt;G81-Inputs!$B$40),999,(ABS((E81-Inputs!$B$5)*((Inputs!$C$69*SIN(($B81))-Inputs!$B$69*COS(($B81)))-Inputs!$B$6)-(F81-Inputs!$B$6)*((Inputs!$C$69*COS(($B81))+Inputs!$B$69*SIN(($B81)))-Inputs!$B$5))/G81)-IF(((((Inputs!$C$69*COS(($B81))+Inputs!$B$69*SIN(($B81)))-Inputs!$B$5)*(E81-Inputs!$B$5)+((Inputs!$C$69*SIN(($B81))-Inputs!$B$69*COS(($B81)))-Inputs!$B$6)*(F81-Inputs!$B$6))/G81)&lt;$B$16,$B$7/2,$B$8/2)-Inputs!$B$39),IF(OR(Inputs!$C$70=0,((((Inputs!$C$70*COS(($B81))+Inputs!$B$70*SIN(($B81)))-Inputs!$B$5)*(E81-Inputs!$B$5)+((Inputs!$C$70*SIN(($B81))-Inputs!$B$70*COS(($B81)))-Inputs!$B$6)*(F81-Inputs!$B$6))/G81)&lt;0,((((Inputs!$C$70*COS(($B81))+Inputs!$B$70*SIN(($B81)))-Inputs!$B$5)*(E81-Inputs!$B$5)+((Inputs!$C$70*SIN(($B81))-Inputs!$B$70*COS(($B81)))-Inputs!$B$6)*(F81-Inputs!$B$6))/G81)&gt;G81-Inputs!$B$40),999,(ABS((E81-Inputs!$B$5)*((Inputs!$C$70*SIN(($B81))-Inputs!$B$70*COS(($B81)))-Inputs!$B$6)-(F81-Inputs!$B$6)*((Inputs!$C$70*COS(($B81))+Inputs!$B$70*SIN(($B81)))-Inputs!$B$5))/G81)-IF(((((Inputs!$C$70*COS(($B81))+Inputs!$B$70*SIN(($B81)))-Inputs!$B$5)*(E81-Inputs!$B$5)+((Inputs!$C$70*SIN(($B81))-Inputs!$B$70*COS(($B81)))-Inputs!$B$6)*(F81-Inputs!$B$6))/G81)&lt;$B$16,$B$7/2,$B$8/2)-Inputs!$B$39),IF(OR(Inputs!$C$71=0,((((Inputs!$C$71*COS(($B81))+Inputs!$B$71*SIN(($B81)))-Inputs!$B$5)*(E81-Inputs!$B$5)+((Inputs!$C$71*SIN(($B81))-Inputs!$B$71*COS(($B81)))-Inputs!$B$6)*(F81-Inputs!$B$6))/G81)&lt;0,((((Inputs!$C$71*COS(($B81))+Inputs!$B$71*SIN(($B81)))-Inputs!$B$5)*(E81-Inputs!$B$5)+((Inputs!$C$71*SIN(($B81))-Inputs!$B$71*COS(($B81)))-Inputs!$B$6)*(F81-Inputs!$B$6))/G81)&gt;G81-Inputs!$B$40),999,(ABS((E81-Inputs!$B$5)*((Inputs!$C$71*SIN(($B81))-Inputs!$B$71*COS(($B81)))-Inputs!$B$6)-(F81-Inputs!$B$6)*((Inputs!$C$71*COS(($B81))+Inputs!$B$71*SIN(($B81)))-Inputs!$B$5))/G81)-IF(((((Inputs!$C$71*COS(($B81))+Inputs!$B$71*SIN(($B81)))-Inputs!$B$5)*(E81-Inputs!$B$5)+((Inputs!$C$71*SIN(($B81))-Inputs!$B$71*COS(($B81)))-Inputs!$B$6)*(F81-Inputs!$B$6))/G81)&lt;$B$16,$B$7/2,$B$8/2)-Inputs!$B$39),IF(OR(Inputs!$C$72=0,((((Inputs!$C$72*COS(($B81))+Inputs!$B$72*SIN(($B81)))-Inputs!$B$5)*(E81-Inputs!$B$5)+((Inputs!$C$72*SIN(($B81))-Inputs!$B$72*COS(($B81)))-Inputs!$B$6)*(F81-Inputs!$B$6))/G81)&lt;0,((((Inputs!$C$72*COS(($B81))+Inputs!$B$72*SIN(($B81)))-Inputs!$B$5)*(E81-Inputs!$B$5)+((Inputs!$C$72*SIN(($B81))-Inputs!$B$72*COS(($B81)))-Inputs!$B$6)*(F81-Inputs!$B$6))/G81)&gt;G81-Inputs!$B$40),999,(ABS((E81-Inputs!$B$5)*((Inputs!$C$72*SIN(($B81))-Inputs!$B$72*COS(($B81)))-Inputs!$B$6)-(F81-Inputs!$B$6)*((Inputs!$C$72*COS(($B81))+Inputs!$B$72*SIN(($B81)))-Inputs!$B$5))/G81)-IF(((((Inputs!$C$72*COS(($B81))+Inputs!$B$72*SIN(($B81)))-Inputs!$B$5)*(E81-Inputs!$B$5)+((Inputs!$C$72*SIN(($B81))-Inputs!$B$72*COS(($B81)))-Inputs!$B$6)*(F81-Inputs!$B$6))/G81)&lt;$B$16,$B$7/2,$B$8/2)-Inputs!$B$39))</f>
        <v>37.3089005</v>
      </c>
      <c r="J81" s="76">
        <f>IF(AND(G81&gt;=$B$14,G81&lt;=$B$15,H81&lt;=Inputs!$B$38,I81&gt;=0,$D81=1),1,0)</f>
        <v>1</v>
      </c>
      <c r="K81" s="29">
        <f>Inputs!$B$11*COS((-$B81))-Inputs!$B$7*SIN((-$B81))</f>
        <v>61.53088516</v>
      </c>
      <c r="L81" s="29">
        <f>Inputs!$B$11*SIN((-$B81))+Inputs!$B$7*COS((-$B81))</f>
        <v>-213.0777586</v>
      </c>
      <c r="M81" s="29">
        <f>SQRT((K81-Inputs!$B$5)^2+(L81-Inputs!$B$6)^2)</f>
        <v>365.4289126</v>
      </c>
      <c r="N81" s="29">
        <f>MAX(MAX(Inputs!$B$5,(Inputs!$B$5+(K81-Inputs!$B$5)*MIN(1,$B$16/M81)))+$B$7/2,MAX((Inputs!$B$5+(K81-Inputs!$B$5)*MIN(1,$B$16/M81)),K81)+Inputs!$B$41)</f>
        <v>291.8</v>
      </c>
      <c r="O81" s="29">
        <f>MIN(IF(OR(Inputs!$C$68=0,((((Inputs!$C$68*COS((-$B81))+Inputs!$B$68*SIN((-$B81)))-Inputs!$B$5)*(K81-Inputs!$B$5)+((Inputs!$C$68*SIN((-$B81))-Inputs!$B$68*COS((-$B81)))-Inputs!$B$6)*(L81-Inputs!$B$6))/M81)&lt;0,((((Inputs!$C$68*COS((-$B81))+Inputs!$B$68*SIN((-$B81)))-Inputs!$B$5)*(K81-Inputs!$B$5)+((Inputs!$C$68*SIN((-$B81))-Inputs!$B$68*COS((-$B81)))-Inputs!$B$6)*(L81-Inputs!$B$6))/M81)&gt;M81-Inputs!$B$40),999,(ABS((K81-Inputs!$B$5)*((Inputs!$C$68*SIN((-$B81))-Inputs!$B$68*COS((-$B81)))-Inputs!$B$6)-(L81-Inputs!$B$6)*((Inputs!$C$68*COS((-$B81))+Inputs!$B$68*SIN((-$B81)))-Inputs!$B$5))/M81)-IF(((((Inputs!$C$68*COS((-$B81))+Inputs!$B$68*SIN((-$B81)))-Inputs!$B$5)*(K81-Inputs!$B$5)+((Inputs!$C$68*SIN((-$B81))-Inputs!$B$68*COS((-$B81)))-Inputs!$B$6)*(L81-Inputs!$B$6))/M81)&lt;$B$16,$B$7/2,$B$8/2)-Inputs!$B$39),IF(OR(Inputs!$C$69=0,((((Inputs!$C$69*COS((-$B81))+Inputs!$B$69*SIN((-$B81)))-Inputs!$B$5)*(K81-Inputs!$B$5)+((Inputs!$C$69*SIN((-$B81))-Inputs!$B$69*COS((-$B81)))-Inputs!$B$6)*(L81-Inputs!$B$6))/M81)&lt;0,((((Inputs!$C$69*COS((-$B81))+Inputs!$B$69*SIN((-$B81)))-Inputs!$B$5)*(K81-Inputs!$B$5)+((Inputs!$C$69*SIN((-$B81))-Inputs!$B$69*COS((-$B81)))-Inputs!$B$6)*(L81-Inputs!$B$6))/M81)&gt;M81-Inputs!$B$40),999,(ABS((K81-Inputs!$B$5)*((Inputs!$C$69*SIN((-$B81))-Inputs!$B$69*COS((-$B81)))-Inputs!$B$6)-(L81-Inputs!$B$6)*((Inputs!$C$69*COS((-$B81))+Inputs!$B$69*SIN((-$B81)))-Inputs!$B$5))/M81)-IF(((((Inputs!$C$69*COS((-$B81))+Inputs!$B$69*SIN((-$B81)))-Inputs!$B$5)*(K81-Inputs!$B$5)+((Inputs!$C$69*SIN((-$B81))-Inputs!$B$69*COS((-$B81)))-Inputs!$B$6)*(L81-Inputs!$B$6))/M81)&lt;$B$16,$B$7/2,$B$8/2)-Inputs!$B$39),IF(OR(Inputs!$C$70=0,((((Inputs!$C$70*COS((-$B81))+Inputs!$B$70*SIN((-$B81)))-Inputs!$B$5)*(K81-Inputs!$B$5)+((Inputs!$C$70*SIN((-$B81))-Inputs!$B$70*COS((-$B81)))-Inputs!$B$6)*(L81-Inputs!$B$6))/M81)&lt;0,((((Inputs!$C$70*COS((-$B81))+Inputs!$B$70*SIN((-$B81)))-Inputs!$B$5)*(K81-Inputs!$B$5)+((Inputs!$C$70*SIN((-$B81))-Inputs!$B$70*COS((-$B81)))-Inputs!$B$6)*(L81-Inputs!$B$6))/M81)&gt;M81-Inputs!$B$40),999,(ABS((K81-Inputs!$B$5)*((Inputs!$C$70*SIN((-$B81))-Inputs!$B$70*COS((-$B81)))-Inputs!$B$6)-(L81-Inputs!$B$6)*((Inputs!$C$70*COS((-$B81))+Inputs!$B$70*SIN((-$B81)))-Inputs!$B$5))/M81)-IF(((((Inputs!$C$70*COS((-$B81))+Inputs!$B$70*SIN((-$B81)))-Inputs!$B$5)*(K81-Inputs!$B$5)+((Inputs!$C$70*SIN((-$B81))-Inputs!$B$70*COS((-$B81)))-Inputs!$B$6)*(L81-Inputs!$B$6))/M81)&lt;$B$16,$B$7/2,$B$8/2)-Inputs!$B$39),IF(OR(Inputs!$C$71=0,((((Inputs!$C$71*COS((-$B81))+Inputs!$B$71*SIN((-$B81)))-Inputs!$B$5)*(K81-Inputs!$B$5)+((Inputs!$C$71*SIN((-$B81))-Inputs!$B$71*COS((-$B81)))-Inputs!$B$6)*(L81-Inputs!$B$6))/M81)&lt;0,((((Inputs!$C$71*COS((-$B81))+Inputs!$B$71*SIN((-$B81)))-Inputs!$B$5)*(K81-Inputs!$B$5)+((Inputs!$C$71*SIN((-$B81))-Inputs!$B$71*COS((-$B81)))-Inputs!$B$6)*(L81-Inputs!$B$6))/M81)&gt;M81-Inputs!$B$40),999,(ABS((K81-Inputs!$B$5)*((Inputs!$C$71*SIN((-$B81))-Inputs!$B$71*COS((-$B81)))-Inputs!$B$6)-(L81-Inputs!$B$6)*((Inputs!$C$71*COS((-$B81))+Inputs!$B$71*SIN((-$B81)))-Inputs!$B$5))/M81)-IF(((((Inputs!$C$71*COS((-$B81))+Inputs!$B$71*SIN((-$B81)))-Inputs!$B$5)*(K81-Inputs!$B$5)+((Inputs!$C$71*SIN((-$B81))-Inputs!$B$71*COS((-$B81)))-Inputs!$B$6)*(L81-Inputs!$B$6))/M81)&lt;$B$16,$B$7/2,$B$8/2)-Inputs!$B$39),IF(OR(Inputs!$C$72=0,((((Inputs!$C$72*COS((-$B81))+Inputs!$B$72*SIN((-$B81)))-Inputs!$B$5)*(K81-Inputs!$B$5)+((Inputs!$C$72*SIN((-$B81))-Inputs!$B$72*COS((-$B81)))-Inputs!$B$6)*(L81-Inputs!$B$6))/M81)&lt;0,((((Inputs!$C$72*COS((-$B81))+Inputs!$B$72*SIN((-$B81)))-Inputs!$B$5)*(K81-Inputs!$B$5)+((Inputs!$C$72*SIN((-$B81))-Inputs!$B$72*COS((-$B81)))-Inputs!$B$6)*(L81-Inputs!$B$6))/M81)&gt;M81-Inputs!$B$40),999,(ABS((K81-Inputs!$B$5)*((Inputs!$C$72*SIN((-$B81))-Inputs!$B$72*COS((-$B81)))-Inputs!$B$6)-(L81-Inputs!$B$6)*((Inputs!$C$72*COS((-$B81))+Inputs!$B$72*SIN((-$B81)))-Inputs!$B$5))/M81)-IF(((((Inputs!$C$72*COS((-$B81))+Inputs!$B$72*SIN((-$B81)))-Inputs!$B$5)*(K81-Inputs!$B$5)+((Inputs!$C$72*SIN((-$B81))-Inputs!$B$72*COS((-$B81)))-Inputs!$B$6)*(L81-Inputs!$B$6))/M81)&lt;$B$16,$B$7/2,$B$8/2)-Inputs!$B$39))</f>
        <v>13.08695695</v>
      </c>
      <c r="P81" s="76">
        <f>IF(AND(M81&gt;=$B$14,M81&lt;=$B$15,N81&lt;=Inputs!$B$38,O81&gt;=0,$D81=1),1,0)</f>
        <v>1</v>
      </c>
    </row>
    <row r="82" ht="15.75" customHeight="1">
      <c r="A82" s="23">
        <v>9.75</v>
      </c>
      <c r="B82" s="40">
        <f t="shared" si="4"/>
        <v>0.1701696021</v>
      </c>
      <c r="C82" s="29">
        <f>MAX(Inputs!$C$68*COS($B82)+Inputs!$B$68*ABS(SIN($B82)),Inputs!$C$69*COS($B82)+Inputs!$B$69*ABS(SIN($B82)),Inputs!$C$70*COS($B82)+Inputs!$B$70*ABS(SIN($B82)),Inputs!$C$71*COS($B82)+Inputs!$B$71*ABS(SIN($B82)),Inputs!$C$72*COS($B82)+Inputs!$B$72*ABS(SIN($B82)))</f>
        <v>145.3748502</v>
      </c>
      <c r="D82" s="71">
        <f>IF(C82&lt;=Inputs!$B$38,1,0)</f>
        <v>1</v>
      </c>
      <c r="E82" s="29">
        <f>Inputs!$B$11*COS(($B82))-Inputs!$B$7*SIN(($B82))</f>
        <v>128.3403768</v>
      </c>
      <c r="F82" s="29">
        <f>Inputs!$B$11*SIN(($B82))+Inputs!$B$7*COS(($B82))</f>
        <v>-180.8782151</v>
      </c>
      <c r="G82" s="29">
        <f>SQRT((E82-Inputs!$B$5)^2+(F82-Inputs!$B$6)^2)</f>
        <v>306.0941614</v>
      </c>
      <c r="H82" s="29">
        <f>MAX(MAX(Inputs!$B$5,(Inputs!$B$5+(E82-Inputs!$B$5)*MIN(1,$B$16/G82)))+$B$7/2,MAX((Inputs!$B$5+(E82-Inputs!$B$5)*MIN(1,$B$16/G82)),E82)+Inputs!$B$41)</f>
        <v>291.8</v>
      </c>
      <c r="I82" s="29">
        <f>MIN(IF(OR(Inputs!$C$68=0,((((Inputs!$C$68*COS(($B82))+Inputs!$B$68*SIN(($B82)))-Inputs!$B$5)*(E82-Inputs!$B$5)+((Inputs!$C$68*SIN(($B82))-Inputs!$B$68*COS(($B82)))-Inputs!$B$6)*(F82-Inputs!$B$6))/G82)&lt;0,((((Inputs!$C$68*COS(($B82))+Inputs!$B$68*SIN(($B82)))-Inputs!$B$5)*(E82-Inputs!$B$5)+((Inputs!$C$68*SIN(($B82))-Inputs!$B$68*COS(($B82)))-Inputs!$B$6)*(F82-Inputs!$B$6))/G82)&gt;G82-Inputs!$B$40),999,(ABS((E82-Inputs!$B$5)*((Inputs!$C$68*SIN(($B82))-Inputs!$B$68*COS(($B82)))-Inputs!$B$6)-(F82-Inputs!$B$6)*((Inputs!$C$68*COS(($B82))+Inputs!$B$68*SIN(($B82)))-Inputs!$B$5))/G82)-IF(((((Inputs!$C$68*COS(($B82))+Inputs!$B$68*SIN(($B82)))-Inputs!$B$5)*(E82-Inputs!$B$5)+((Inputs!$C$68*SIN(($B82))-Inputs!$B$68*COS(($B82)))-Inputs!$B$6)*(F82-Inputs!$B$6))/G82)&lt;$B$16,$B$7/2,$B$8/2)-Inputs!$B$39),IF(OR(Inputs!$C$69=0,((((Inputs!$C$69*COS(($B82))+Inputs!$B$69*SIN(($B82)))-Inputs!$B$5)*(E82-Inputs!$B$5)+((Inputs!$C$69*SIN(($B82))-Inputs!$B$69*COS(($B82)))-Inputs!$B$6)*(F82-Inputs!$B$6))/G82)&lt;0,((((Inputs!$C$69*COS(($B82))+Inputs!$B$69*SIN(($B82)))-Inputs!$B$5)*(E82-Inputs!$B$5)+((Inputs!$C$69*SIN(($B82))-Inputs!$B$69*COS(($B82)))-Inputs!$B$6)*(F82-Inputs!$B$6))/G82)&gt;G82-Inputs!$B$40),999,(ABS((E82-Inputs!$B$5)*((Inputs!$C$69*SIN(($B82))-Inputs!$B$69*COS(($B82)))-Inputs!$B$6)-(F82-Inputs!$B$6)*((Inputs!$C$69*COS(($B82))+Inputs!$B$69*SIN(($B82)))-Inputs!$B$5))/G82)-IF(((((Inputs!$C$69*COS(($B82))+Inputs!$B$69*SIN(($B82)))-Inputs!$B$5)*(E82-Inputs!$B$5)+((Inputs!$C$69*SIN(($B82))-Inputs!$B$69*COS(($B82)))-Inputs!$B$6)*(F82-Inputs!$B$6))/G82)&lt;$B$16,$B$7/2,$B$8/2)-Inputs!$B$39),IF(OR(Inputs!$C$70=0,((((Inputs!$C$70*COS(($B82))+Inputs!$B$70*SIN(($B82)))-Inputs!$B$5)*(E82-Inputs!$B$5)+((Inputs!$C$70*SIN(($B82))-Inputs!$B$70*COS(($B82)))-Inputs!$B$6)*(F82-Inputs!$B$6))/G82)&lt;0,((((Inputs!$C$70*COS(($B82))+Inputs!$B$70*SIN(($B82)))-Inputs!$B$5)*(E82-Inputs!$B$5)+((Inputs!$C$70*SIN(($B82))-Inputs!$B$70*COS(($B82)))-Inputs!$B$6)*(F82-Inputs!$B$6))/G82)&gt;G82-Inputs!$B$40),999,(ABS((E82-Inputs!$B$5)*((Inputs!$C$70*SIN(($B82))-Inputs!$B$70*COS(($B82)))-Inputs!$B$6)-(F82-Inputs!$B$6)*((Inputs!$C$70*COS(($B82))+Inputs!$B$70*SIN(($B82)))-Inputs!$B$5))/G82)-IF(((((Inputs!$C$70*COS(($B82))+Inputs!$B$70*SIN(($B82)))-Inputs!$B$5)*(E82-Inputs!$B$5)+((Inputs!$C$70*SIN(($B82))-Inputs!$B$70*COS(($B82)))-Inputs!$B$6)*(F82-Inputs!$B$6))/G82)&lt;$B$16,$B$7/2,$B$8/2)-Inputs!$B$39),IF(OR(Inputs!$C$71=0,((((Inputs!$C$71*COS(($B82))+Inputs!$B$71*SIN(($B82)))-Inputs!$B$5)*(E82-Inputs!$B$5)+((Inputs!$C$71*SIN(($B82))-Inputs!$B$71*COS(($B82)))-Inputs!$B$6)*(F82-Inputs!$B$6))/G82)&lt;0,((((Inputs!$C$71*COS(($B82))+Inputs!$B$71*SIN(($B82)))-Inputs!$B$5)*(E82-Inputs!$B$5)+((Inputs!$C$71*SIN(($B82))-Inputs!$B$71*COS(($B82)))-Inputs!$B$6)*(F82-Inputs!$B$6))/G82)&gt;G82-Inputs!$B$40),999,(ABS((E82-Inputs!$B$5)*((Inputs!$C$71*SIN(($B82))-Inputs!$B$71*COS(($B82)))-Inputs!$B$6)-(F82-Inputs!$B$6)*((Inputs!$C$71*COS(($B82))+Inputs!$B$71*SIN(($B82)))-Inputs!$B$5))/G82)-IF(((((Inputs!$C$71*COS(($B82))+Inputs!$B$71*SIN(($B82)))-Inputs!$B$5)*(E82-Inputs!$B$5)+((Inputs!$C$71*SIN(($B82))-Inputs!$B$71*COS(($B82)))-Inputs!$B$6)*(F82-Inputs!$B$6))/G82)&lt;$B$16,$B$7/2,$B$8/2)-Inputs!$B$39),IF(OR(Inputs!$C$72=0,((((Inputs!$C$72*COS(($B82))+Inputs!$B$72*SIN(($B82)))-Inputs!$B$5)*(E82-Inputs!$B$5)+((Inputs!$C$72*SIN(($B82))-Inputs!$B$72*COS(($B82)))-Inputs!$B$6)*(F82-Inputs!$B$6))/G82)&lt;0,((((Inputs!$C$72*COS(($B82))+Inputs!$B$72*SIN(($B82)))-Inputs!$B$5)*(E82-Inputs!$B$5)+((Inputs!$C$72*SIN(($B82))-Inputs!$B$72*COS(($B82)))-Inputs!$B$6)*(F82-Inputs!$B$6))/G82)&gt;G82-Inputs!$B$40),999,(ABS((E82-Inputs!$B$5)*((Inputs!$C$72*SIN(($B82))-Inputs!$B$72*COS(($B82)))-Inputs!$B$6)-(F82-Inputs!$B$6)*((Inputs!$C$72*COS(($B82))+Inputs!$B$72*SIN(($B82)))-Inputs!$B$5))/G82)-IF(((((Inputs!$C$72*COS(($B82))+Inputs!$B$72*SIN(($B82)))-Inputs!$B$5)*(E82-Inputs!$B$5)+((Inputs!$C$72*SIN(($B82))-Inputs!$B$72*COS(($B82)))-Inputs!$B$6)*(F82-Inputs!$B$6))/G82)&lt;$B$16,$B$7/2,$B$8/2)-Inputs!$B$39))</f>
        <v>37.61794876</v>
      </c>
      <c r="J82" s="76">
        <f>IF(AND(G82&gt;=$B$14,G82&lt;=$B$15,H82&lt;=Inputs!$B$38,I82&gt;=0,$D82=1),1,0)</f>
        <v>1</v>
      </c>
      <c r="K82" s="29">
        <f>Inputs!$B$11*COS((-$B82))-Inputs!$B$7*SIN((-$B82))</f>
        <v>60.60057527</v>
      </c>
      <c r="L82" s="29">
        <f>Inputs!$B$11*SIN((-$B82))+Inputs!$B$7*COS((-$B82))</f>
        <v>-213.3442085</v>
      </c>
      <c r="M82" s="29">
        <f>SQRT((K82-Inputs!$B$5)^2+(L82-Inputs!$B$6)^2)</f>
        <v>366.1375904</v>
      </c>
      <c r="N82" s="29">
        <f>MAX(MAX(Inputs!$B$5,(Inputs!$B$5+(K82-Inputs!$B$5)*MIN(1,$B$16/M82)))+$B$7/2,MAX((Inputs!$B$5+(K82-Inputs!$B$5)*MIN(1,$B$16/M82)),K82)+Inputs!$B$41)</f>
        <v>291.8</v>
      </c>
      <c r="O82" s="29">
        <f>MIN(IF(OR(Inputs!$C$68=0,((((Inputs!$C$68*COS((-$B82))+Inputs!$B$68*SIN((-$B82)))-Inputs!$B$5)*(K82-Inputs!$B$5)+((Inputs!$C$68*SIN((-$B82))-Inputs!$B$68*COS((-$B82)))-Inputs!$B$6)*(L82-Inputs!$B$6))/M82)&lt;0,((((Inputs!$C$68*COS((-$B82))+Inputs!$B$68*SIN((-$B82)))-Inputs!$B$5)*(K82-Inputs!$B$5)+((Inputs!$C$68*SIN((-$B82))-Inputs!$B$68*COS((-$B82)))-Inputs!$B$6)*(L82-Inputs!$B$6))/M82)&gt;M82-Inputs!$B$40),999,(ABS((K82-Inputs!$B$5)*((Inputs!$C$68*SIN((-$B82))-Inputs!$B$68*COS((-$B82)))-Inputs!$B$6)-(L82-Inputs!$B$6)*((Inputs!$C$68*COS((-$B82))+Inputs!$B$68*SIN((-$B82)))-Inputs!$B$5))/M82)-IF(((((Inputs!$C$68*COS((-$B82))+Inputs!$B$68*SIN((-$B82)))-Inputs!$B$5)*(K82-Inputs!$B$5)+((Inputs!$C$68*SIN((-$B82))-Inputs!$B$68*COS((-$B82)))-Inputs!$B$6)*(L82-Inputs!$B$6))/M82)&lt;$B$16,$B$7/2,$B$8/2)-Inputs!$B$39),IF(OR(Inputs!$C$69=0,((((Inputs!$C$69*COS((-$B82))+Inputs!$B$69*SIN((-$B82)))-Inputs!$B$5)*(K82-Inputs!$B$5)+((Inputs!$C$69*SIN((-$B82))-Inputs!$B$69*COS((-$B82)))-Inputs!$B$6)*(L82-Inputs!$B$6))/M82)&lt;0,((((Inputs!$C$69*COS((-$B82))+Inputs!$B$69*SIN((-$B82)))-Inputs!$B$5)*(K82-Inputs!$B$5)+((Inputs!$C$69*SIN((-$B82))-Inputs!$B$69*COS((-$B82)))-Inputs!$B$6)*(L82-Inputs!$B$6))/M82)&gt;M82-Inputs!$B$40),999,(ABS((K82-Inputs!$B$5)*((Inputs!$C$69*SIN((-$B82))-Inputs!$B$69*COS((-$B82)))-Inputs!$B$6)-(L82-Inputs!$B$6)*((Inputs!$C$69*COS((-$B82))+Inputs!$B$69*SIN((-$B82)))-Inputs!$B$5))/M82)-IF(((((Inputs!$C$69*COS((-$B82))+Inputs!$B$69*SIN((-$B82)))-Inputs!$B$5)*(K82-Inputs!$B$5)+((Inputs!$C$69*SIN((-$B82))-Inputs!$B$69*COS((-$B82)))-Inputs!$B$6)*(L82-Inputs!$B$6))/M82)&lt;$B$16,$B$7/2,$B$8/2)-Inputs!$B$39),IF(OR(Inputs!$C$70=0,((((Inputs!$C$70*COS((-$B82))+Inputs!$B$70*SIN((-$B82)))-Inputs!$B$5)*(K82-Inputs!$B$5)+((Inputs!$C$70*SIN((-$B82))-Inputs!$B$70*COS((-$B82)))-Inputs!$B$6)*(L82-Inputs!$B$6))/M82)&lt;0,((((Inputs!$C$70*COS((-$B82))+Inputs!$B$70*SIN((-$B82)))-Inputs!$B$5)*(K82-Inputs!$B$5)+((Inputs!$C$70*SIN((-$B82))-Inputs!$B$70*COS((-$B82)))-Inputs!$B$6)*(L82-Inputs!$B$6))/M82)&gt;M82-Inputs!$B$40),999,(ABS((K82-Inputs!$B$5)*((Inputs!$C$70*SIN((-$B82))-Inputs!$B$70*COS((-$B82)))-Inputs!$B$6)-(L82-Inputs!$B$6)*((Inputs!$C$70*COS((-$B82))+Inputs!$B$70*SIN((-$B82)))-Inputs!$B$5))/M82)-IF(((((Inputs!$C$70*COS((-$B82))+Inputs!$B$70*SIN((-$B82)))-Inputs!$B$5)*(K82-Inputs!$B$5)+((Inputs!$C$70*SIN((-$B82))-Inputs!$B$70*COS((-$B82)))-Inputs!$B$6)*(L82-Inputs!$B$6))/M82)&lt;$B$16,$B$7/2,$B$8/2)-Inputs!$B$39),IF(OR(Inputs!$C$71=0,((((Inputs!$C$71*COS((-$B82))+Inputs!$B$71*SIN((-$B82)))-Inputs!$B$5)*(K82-Inputs!$B$5)+((Inputs!$C$71*SIN((-$B82))-Inputs!$B$71*COS((-$B82)))-Inputs!$B$6)*(L82-Inputs!$B$6))/M82)&lt;0,((((Inputs!$C$71*COS((-$B82))+Inputs!$B$71*SIN((-$B82)))-Inputs!$B$5)*(K82-Inputs!$B$5)+((Inputs!$C$71*SIN((-$B82))-Inputs!$B$71*COS((-$B82)))-Inputs!$B$6)*(L82-Inputs!$B$6))/M82)&gt;M82-Inputs!$B$40),999,(ABS((K82-Inputs!$B$5)*((Inputs!$C$71*SIN((-$B82))-Inputs!$B$71*COS((-$B82)))-Inputs!$B$6)-(L82-Inputs!$B$6)*((Inputs!$C$71*COS((-$B82))+Inputs!$B$71*SIN((-$B82)))-Inputs!$B$5))/M82)-IF(((((Inputs!$C$71*COS((-$B82))+Inputs!$B$71*SIN((-$B82)))-Inputs!$B$5)*(K82-Inputs!$B$5)+((Inputs!$C$71*SIN((-$B82))-Inputs!$B$71*COS((-$B82)))-Inputs!$B$6)*(L82-Inputs!$B$6))/M82)&lt;$B$16,$B$7/2,$B$8/2)-Inputs!$B$39),IF(OR(Inputs!$C$72=0,((((Inputs!$C$72*COS((-$B82))+Inputs!$B$72*SIN((-$B82)))-Inputs!$B$5)*(K82-Inputs!$B$5)+((Inputs!$C$72*SIN((-$B82))-Inputs!$B$72*COS((-$B82)))-Inputs!$B$6)*(L82-Inputs!$B$6))/M82)&lt;0,((((Inputs!$C$72*COS((-$B82))+Inputs!$B$72*SIN((-$B82)))-Inputs!$B$5)*(K82-Inputs!$B$5)+((Inputs!$C$72*SIN((-$B82))-Inputs!$B$72*COS((-$B82)))-Inputs!$B$6)*(L82-Inputs!$B$6))/M82)&gt;M82-Inputs!$B$40),999,(ABS((K82-Inputs!$B$5)*((Inputs!$C$72*SIN((-$B82))-Inputs!$B$72*COS((-$B82)))-Inputs!$B$6)-(L82-Inputs!$B$6)*((Inputs!$C$72*COS((-$B82))+Inputs!$B$72*SIN((-$B82)))-Inputs!$B$5))/M82)-IF(((((Inputs!$C$72*COS((-$B82))+Inputs!$B$72*SIN((-$B82)))-Inputs!$B$5)*(K82-Inputs!$B$5)+((Inputs!$C$72*SIN((-$B82))-Inputs!$B$72*COS((-$B82)))-Inputs!$B$6)*(L82-Inputs!$B$6))/M82)&lt;$B$16,$B$7/2,$B$8/2)-Inputs!$B$39))</f>
        <v>12.75972688</v>
      </c>
      <c r="P82" s="76">
        <f>IF(AND(M82&gt;=$B$14,M82&lt;=$B$15,N82&lt;=Inputs!$B$38,O82&gt;=0,$D82=1),1,0)</f>
        <v>1</v>
      </c>
    </row>
    <row r="83" ht="15.75" customHeight="1">
      <c r="A83" s="23">
        <v>10.0</v>
      </c>
      <c r="B83" s="40">
        <f t="shared" si="4"/>
        <v>0.1745329252</v>
      </c>
      <c r="C83" s="29">
        <f>MAX(Inputs!$C$68*COS($B83)+Inputs!$B$68*ABS(SIN($B83)),Inputs!$C$69*COS($B83)+Inputs!$B$69*ABS(SIN($B83)),Inputs!$C$70*COS($B83)+Inputs!$B$70*ABS(SIN($B83)),Inputs!$C$71*COS($B83)+Inputs!$B$71*ABS(SIN($B83)),Inputs!$C$72*COS($B83)+Inputs!$B$72*ABS(SIN($B83)))</f>
        <v>147.0295207</v>
      </c>
      <c r="D83" s="71">
        <f>IF(C83&lt;=Inputs!$B$38,1,0)</f>
        <v>1</v>
      </c>
      <c r="E83" s="29">
        <f>Inputs!$B$11*COS(($B83))-Inputs!$B$7*SIN(($B83))</f>
        <v>129.1283827</v>
      </c>
      <c r="F83" s="29">
        <f>Inputs!$B$11*SIN(($B83))+Inputs!$B$7*COS(($B83))</f>
        <v>-180.3165045</v>
      </c>
      <c r="G83" s="29">
        <f>SQRT((E83-Inputs!$B$5)^2+(F83-Inputs!$B$6)^2)</f>
        <v>305.2659342</v>
      </c>
      <c r="H83" s="29">
        <f>MAX(MAX(Inputs!$B$5,(Inputs!$B$5+(E83-Inputs!$B$5)*MIN(1,$B$16/G83)))+$B$7/2,MAX((Inputs!$B$5+(E83-Inputs!$B$5)*MIN(1,$B$16/G83)),E83)+Inputs!$B$41)</f>
        <v>291.8</v>
      </c>
      <c r="I83" s="29">
        <f>MIN(IF(OR(Inputs!$C$68=0,((((Inputs!$C$68*COS(($B83))+Inputs!$B$68*SIN(($B83)))-Inputs!$B$5)*(E83-Inputs!$B$5)+((Inputs!$C$68*SIN(($B83))-Inputs!$B$68*COS(($B83)))-Inputs!$B$6)*(F83-Inputs!$B$6))/G83)&lt;0,((((Inputs!$C$68*COS(($B83))+Inputs!$B$68*SIN(($B83)))-Inputs!$B$5)*(E83-Inputs!$B$5)+((Inputs!$C$68*SIN(($B83))-Inputs!$B$68*COS(($B83)))-Inputs!$B$6)*(F83-Inputs!$B$6))/G83)&gt;G83-Inputs!$B$40),999,(ABS((E83-Inputs!$B$5)*((Inputs!$C$68*SIN(($B83))-Inputs!$B$68*COS(($B83)))-Inputs!$B$6)-(F83-Inputs!$B$6)*((Inputs!$C$68*COS(($B83))+Inputs!$B$68*SIN(($B83)))-Inputs!$B$5))/G83)-IF(((((Inputs!$C$68*COS(($B83))+Inputs!$B$68*SIN(($B83)))-Inputs!$B$5)*(E83-Inputs!$B$5)+((Inputs!$C$68*SIN(($B83))-Inputs!$B$68*COS(($B83)))-Inputs!$B$6)*(F83-Inputs!$B$6))/G83)&lt;$B$16,$B$7/2,$B$8/2)-Inputs!$B$39),IF(OR(Inputs!$C$69=0,((((Inputs!$C$69*COS(($B83))+Inputs!$B$69*SIN(($B83)))-Inputs!$B$5)*(E83-Inputs!$B$5)+((Inputs!$C$69*SIN(($B83))-Inputs!$B$69*COS(($B83)))-Inputs!$B$6)*(F83-Inputs!$B$6))/G83)&lt;0,((((Inputs!$C$69*COS(($B83))+Inputs!$B$69*SIN(($B83)))-Inputs!$B$5)*(E83-Inputs!$B$5)+((Inputs!$C$69*SIN(($B83))-Inputs!$B$69*COS(($B83)))-Inputs!$B$6)*(F83-Inputs!$B$6))/G83)&gt;G83-Inputs!$B$40),999,(ABS((E83-Inputs!$B$5)*((Inputs!$C$69*SIN(($B83))-Inputs!$B$69*COS(($B83)))-Inputs!$B$6)-(F83-Inputs!$B$6)*((Inputs!$C$69*COS(($B83))+Inputs!$B$69*SIN(($B83)))-Inputs!$B$5))/G83)-IF(((((Inputs!$C$69*COS(($B83))+Inputs!$B$69*SIN(($B83)))-Inputs!$B$5)*(E83-Inputs!$B$5)+((Inputs!$C$69*SIN(($B83))-Inputs!$B$69*COS(($B83)))-Inputs!$B$6)*(F83-Inputs!$B$6))/G83)&lt;$B$16,$B$7/2,$B$8/2)-Inputs!$B$39),IF(OR(Inputs!$C$70=0,((((Inputs!$C$70*COS(($B83))+Inputs!$B$70*SIN(($B83)))-Inputs!$B$5)*(E83-Inputs!$B$5)+((Inputs!$C$70*SIN(($B83))-Inputs!$B$70*COS(($B83)))-Inputs!$B$6)*(F83-Inputs!$B$6))/G83)&lt;0,((((Inputs!$C$70*COS(($B83))+Inputs!$B$70*SIN(($B83)))-Inputs!$B$5)*(E83-Inputs!$B$5)+((Inputs!$C$70*SIN(($B83))-Inputs!$B$70*COS(($B83)))-Inputs!$B$6)*(F83-Inputs!$B$6))/G83)&gt;G83-Inputs!$B$40),999,(ABS((E83-Inputs!$B$5)*((Inputs!$C$70*SIN(($B83))-Inputs!$B$70*COS(($B83)))-Inputs!$B$6)-(F83-Inputs!$B$6)*((Inputs!$C$70*COS(($B83))+Inputs!$B$70*SIN(($B83)))-Inputs!$B$5))/G83)-IF(((((Inputs!$C$70*COS(($B83))+Inputs!$B$70*SIN(($B83)))-Inputs!$B$5)*(E83-Inputs!$B$5)+((Inputs!$C$70*SIN(($B83))-Inputs!$B$70*COS(($B83)))-Inputs!$B$6)*(F83-Inputs!$B$6))/G83)&lt;$B$16,$B$7/2,$B$8/2)-Inputs!$B$39),IF(OR(Inputs!$C$71=0,((((Inputs!$C$71*COS(($B83))+Inputs!$B$71*SIN(($B83)))-Inputs!$B$5)*(E83-Inputs!$B$5)+((Inputs!$C$71*SIN(($B83))-Inputs!$B$71*COS(($B83)))-Inputs!$B$6)*(F83-Inputs!$B$6))/G83)&lt;0,((((Inputs!$C$71*COS(($B83))+Inputs!$B$71*SIN(($B83)))-Inputs!$B$5)*(E83-Inputs!$B$5)+((Inputs!$C$71*SIN(($B83))-Inputs!$B$71*COS(($B83)))-Inputs!$B$6)*(F83-Inputs!$B$6))/G83)&gt;G83-Inputs!$B$40),999,(ABS((E83-Inputs!$B$5)*((Inputs!$C$71*SIN(($B83))-Inputs!$B$71*COS(($B83)))-Inputs!$B$6)-(F83-Inputs!$B$6)*((Inputs!$C$71*COS(($B83))+Inputs!$B$71*SIN(($B83)))-Inputs!$B$5))/G83)-IF(((((Inputs!$C$71*COS(($B83))+Inputs!$B$71*SIN(($B83)))-Inputs!$B$5)*(E83-Inputs!$B$5)+((Inputs!$C$71*SIN(($B83))-Inputs!$B$71*COS(($B83)))-Inputs!$B$6)*(F83-Inputs!$B$6))/G83)&lt;$B$16,$B$7/2,$B$8/2)-Inputs!$B$39),IF(OR(Inputs!$C$72=0,((((Inputs!$C$72*COS(($B83))+Inputs!$B$72*SIN(($B83)))-Inputs!$B$5)*(E83-Inputs!$B$5)+((Inputs!$C$72*SIN(($B83))-Inputs!$B$72*COS(($B83)))-Inputs!$B$6)*(F83-Inputs!$B$6))/G83)&lt;0,((((Inputs!$C$72*COS(($B83))+Inputs!$B$72*SIN(($B83)))-Inputs!$B$5)*(E83-Inputs!$B$5)+((Inputs!$C$72*SIN(($B83))-Inputs!$B$72*COS(($B83)))-Inputs!$B$6)*(F83-Inputs!$B$6))/G83)&gt;G83-Inputs!$B$40),999,(ABS((E83-Inputs!$B$5)*((Inputs!$C$72*SIN(($B83))-Inputs!$B$72*COS(($B83)))-Inputs!$B$6)-(F83-Inputs!$B$6)*((Inputs!$C$72*COS(($B83))+Inputs!$B$72*SIN(($B83)))-Inputs!$B$5))/G83)-IF(((((Inputs!$C$72*COS(($B83))+Inputs!$B$72*SIN(($B83)))-Inputs!$B$5)*(E83-Inputs!$B$5)+((Inputs!$C$72*SIN(($B83))-Inputs!$B$72*COS(($B83)))-Inputs!$B$6)*(F83-Inputs!$B$6))/G83)&lt;$B$16,$B$7/2,$B$8/2)-Inputs!$B$39))</f>
        <v>37.92671804</v>
      </c>
      <c r="J83" s="76">
        <f>IF(AND(G83&gt;=$B$14,G83&lt;=$B$15,H83&lt;=Inputs!$B$38,I83&gt;=0,$D83=1),1,0)</f>
        <v>1</v>
      </c>
      <c r="K83" s="29">
        <f>Inputs!$B$11*COS((-$B83))-Inputs!$B$7*SIN((-$B83))</f>
        <v>59.66911163</v>
      </c>
      <c r="L83" s="29">
        <f>Inputs!$B$11*SIN((-$B83))+Inputs!$B$7*COS((-$B83))</f>
        <v>-213.6065967</v>
      </c>
      <c r="M83" s="29">
        <f>SQRT((K83-Inputs!$B$5)^2+(L83-Inputs!$B$6)^2)</f>
        <v>366.8445782</v>
      </c>
      <c r="N83" s="29">
        <f>MAX(MAX(Inputs!$B$5,(Inputs!$B$5+(K83-Inputs!$B$5)*MIN(1,$B$16/M83)))+$B$7/2,MAX((Inputs!$B$5+(K83-Inputs!$B$5)*MIN(1,$B$16/M83)),K83)+Inputs!$B$41)</f>
        <v>291.8</v>
      </c>
      <c r="O83" s="29">
        <f>MIN(IF(OR(Inputs!$C$68=0,((((Inputs!$C$68*COS((-$B83))+Inputs!$B$68*SIN((-$B83)))-Inputs!$B$5)*(K83-Inputs!$B$5)+((Inputs!$C$68*SIN((-$B83))-Inputs!$B$68*COS((-$B83)))-Inputs!$B$6)*(L83-Inputs!$B$6))/M83)&lt;0,((((Inputs!$C$68*COS((-$B83))+Inputs!$B$68*SIN((-$B83)))-Inputs!$B$5)*(K83-Inputs!$B$5)+((Inputs!$C$68*SIN((-$B83))-Inputs!$B$68*COS((-$B83)))-Inputs!$B$6)*(L83-Inputs!$B$6))/M83)&gt;M83-Inputs!$B$40),999,(ABS((K83-Inputs!$B$5)*((Inputs!$C$68*SIN((-$B83))-Inputs!$B$68*COS((-$B83)))-Inputs!$B$6)-(L83-Inputs!$B$6)*((Inputs!$C$68*COS((-$B83))+Inputs!$B$68*SIN((-$B83)))-Inputs!$B$5))/M83)-IF(((((Inputs!$C$68*COS((-$B83))+Inputs!$B$68*SIN((-$B83)))-Inputs!$B$5)*(K83-Inputs!$B$5)+((Inputs!$C$68*SIN((-$B83))-Inputs!$B$68*COS((-$B83)))-Inputs!$B$6)*(L83-Inputs!$B$6))/M83)&lt;$B$16,$B$7/2,$B$8/2)-Inputs!$B$39),IF(OR(Inputs!$C$69=0,((((Inputs!$C$69*COS((-$B83))+Inputs!$B$69*SIN((-$B83)))-Inputs!$B$5)*(K83-Inputs!$B$5)+((Inputs!$C$69*SIN((-$B83))-Inputs!$B$69*COS((-$B83)))-Inputs!$B$6)*(L83-Inputs!$B$6))/M83)&lt;0,((((Inputs!$C$69*COS((-$B83))+Inputs!$B$69*SIN((-$B83)))-Inputs!$B$5)*(K83-Inputs!$B$5)+((Inputs!$C$69*SIN((-$B83))-Inputs!$B$69*COS((-$B83)))-Inputs!$B$6)*(L83-Inputs!$B$6))/M83)&gt;M83-Inputs!$B$40),999,(ABS((K83-Inputs!$B$5)*((Inputs!$C$69*SIN((-$B83))-Inputs!$B$69*COS((-$B83)))-Inputs!$B$6)-(L83-Inputs!$B$6)*((Inputs!$C$69*COS((-$B83))+Inputs!$B$69*SIN((-$B83)))-Inputs!$B$5))/M83)-IF(((((Inputs!$C$69*COS((-$B83))+Inputs!$B$69*SIN((-$B83)))-Inputs!$B$5)*(K83-Inputs!$B$5)+((Inputs!$C$69*SIN((-$B83))-Inputs!$B$69*COS((-$B83)))-Inputs!$B$6)*(L83-Inputs!$B$6))/M83)&lt;$B$16,$B$7/2,$B$8/2)-Inputs!$B$39),IF(OR(Inputs!$C$70=0,((((Inputs!$C$70*COS((-$B83))+Inputs!$B$70*SIN((-$B83)))-Inputs!$B$5)*(K83-Inputs!$B$5)+((Inputs!$C$70*SIN((-$B83))-Inputs!$B$70*COS((-$B83)))-Inputs!$B$6)*(L83-Inputs!$B$6))/M83)&lt;0,((((Inputs!$C$70*COS((-$B83))+Inputs!$B$70*SIN((-$B83)))-Inputs!$B$5)*(K83-Inputs!$B$5)+((Inputs!$C$70*SIN((-$B83))-Inputs!$B$70*COS((-$B83)))-Inputs!$B$6)*(L83-Inputs!$B$6))/M83)&gt;M83-Inputs!$B$40),999,(ABS((K83-Inputs!$B$5)*((Inputs!$C$70*SIN((-$B83))-Inputs!$B$70*COS((-$B83)))-Inputs!$B$6)-(L83-Inputs!$B$6)*((Inputs!$C$70*COS((-$B83))+Inputs!$B$70*SIN((-$B83)))-Inputs!$B$5))/M83)-IF(((((Inputs!$C$70*COS((-$B83))+Inputs!$B$70*SIN((-$B83)))-Inputs!$B$5)*(K83-Inputs!$B$5)+((Inputs!$C$70*SIN((-$B83))-Inputs!$B$70*COS((-$B83)))-Inputs!$B$6)*(L83-Inputs!$B$6))/M83)&lt;$B$16,$B$7/2,$B$8/2)-Inputs!$B$39),IF(OR(Inputs!$C$71=0,((((Inputs!$C$71*COS((-$B83))+Inputs!$B$71*SIN((-$B83)))-Inputs!$B$5)*(K83-Inputs!$B$5)+((Inputs!$C$71*SIN((-$B83))-Inputs!$B$71*COS((-$B83)))-Inputs!$B$6)*(L83-Inputs!$B$6))/M83)&lt;0,((((Inputs!$C$71*COS((-$B83))+Inputs!$B$71*SIN((-$B83)))-Inputs!$B$5)*(K83-Inputs!$B$5)+((Inputs!$C$71*SIN((-$B83))-Inputs!$B$71*COS((-$B83)))-Inputs!$B$6)*(L83-Inputs!$B$6))/M83)&gt;M83-Inputs!$B$40),999,(ABS((K83-Inputs!$B$5)*((Inputs!$C$71*SIN((-$B83))-Inputs!$B$71*COS((-$B83)))-Inputs!$B$6)-(L83-Inputs!$B$6)*((Inputs!$C$71*COS((-$B83))+Inputs!$B$71*SIN((-$B83)))-Inputs!$B$5))/M83)-IF(((((Inputs!$C$71*COS((-$B83))+Inputs!$B$71*SIN((-$B83)))-Inputs!$B$5)*(K83-Inputs!$B$5)+((Inputs!$C$71*SIN((-$B83))-Inputs!$B$71*COS((-$B83)))-Inputs!$B$6)*(L83-Inputs!$B$6))/M83)&lt;$B$16,$B$7/2,$B$8/2)-Inputs!$B$39),IF(OR(Inputs!$C$72=0,((((Inputs!$C$72*COS((-$B83))+Inputs!$B$72*SIN((-$B83)))-Inputs!$B$5)*(K83-Inputs!$B$5)+((Inputs!$C$72*SIN((-$B83))-Inputs!$B$72*COS((-$B83)))-Inputs!$B$6)*(L83-Inputs!$B$6))/M83)&lt;0,((((Inputs!$C$72*COS((-$B83))+Inputs!$B$72*SIN((-$B83)))-Inputs!$B$5)*(K83-Inputs!$B$5)+((Inputs!$C$72*SIN((-$B83))-Inputs!$B$72*COS((-$B83)))-Inputs!$B$6)*(L83-Inputs!$B$6))/M83)&gt;M83-Inputs!$B$40),999,(ABS((K83-Inputs!$B$5)*((Inputs!$C$72*SIN((-$B83))-Inputs!$B$72*COS((-$B83)))-Inputs!$B$6)-(L83-Inputs!$B$6)*((Inputs!$C$72*COS((-$B83))+Inputs!$B$72*SIN((-$B83)))-Inputs!$B$5))/M83)-IF(((((Inputs!$C$72*COS((-$B83))+Inputs!$B$72*SIN((-$B83)))-Inputs!$B$5)*(K83-Inputs!$B$5)+((Inputs!$C$72*SIN((-$B83))-Inputs!$B$72*COS((-$B83)))-Inputs!$B$6)*(L83-Inputs!$B$6))/M83)&lt;$B$16,$B$7/2,$B$8/2)-Inputs!$B$39))</f>
        <v>12.43230675</v>
      </c>
      <c r="P83" s="76">
        <f>IF(AND(M83&gt;=$B$14,M83&lt;=$B$15,N83&lt;=Inputs!$B$38,O83&gt;=0,$D83=1),1,0)</f>
        <v>1</v>
      </c>
    </row>
    <row r="84" ht="15.75" customHeight="1">
      <c r="A84" s="23">
        <v>10.25</v>
      </c>
      <c r="B84" s="40">
        <f t="shared" si="4"/>
        <v>0.1788962483</v>
      </c>
      <c r="C84" s="29">
        <f>MAX(Inputs!$C$68*COS($B84)+Inputs!$B$68*ABS(SIN($B84)),Inputs!$C$69*COS($B84)+Inputs!$B$69*ABS(SIN($B84)),Inputs!$C$70*COS($B84)+Inputs!$B$70*ABS(SIN($B84)),Inputs!$C$71*COS($B84)+Inputs!$B$71*ABS(SIN($B84)),Inputs!$C$72*COS($B84)+Inputs!$B$72*ABS(SIN($B84)))</f>
        <v>148.6813919</v>
      </c>
      <c r="D84" s="71">
        <f>IF(C84&lt;=Inputs!$B$38,1,0)</f>
        <v>1</v>
      </c>
      <c r="E84" s="29">
        <f>Inputs!$B$11*COS(($B84))-Inputs!$B$7*SIN(($B84))</f>
        <v>129.9139302</v>
      </c>
      <c r="F84" s="29">
        <f>Inputs!$B$11*SIN(($B84))+Inputs!$B$7*COS(($B84))</f>
        <v>-179.751361</v>
      </c>
      <c r="G84" s="29">
        <f>SQRT((E84-Inputs!$B$5)^2+(F84-Inputs!$B$6)^2)</f>
        <v>304.436345</v>
      </c>
      <c r="H84" s="29">
        <f>MAX(MAX(Inputs!$B$5,(Inputs!$B$5+(E84-Inputs!$B$5)*MIN(1,$B$16/G84)))+$B$7/2,MAX((Inputs!$B$5+(E84-Inputs!$B$5)*MIN(1,$B$16/G84)),E84)+Inputs!$B$41)</f>
        <v>291.8</v>
      </c>
      <c r="I84" s="29">
        <f>MIN(IF(OR(Inputs!$C$68=0,((((Inputs!$C$68*COS(($B84))+Inputs!$B$68*SIN(($B84)))-Inputs!$B$5)*(E84-Inputs!$B$5)+((Inputs!$C$68*SIN(($B84))-Inputs!$B$68*COS(($B84)))-Inputs!$B$6)*(F84-Inputs!$B$6))/G84)&lt;0,((((Inputs!$C$68*COS(($B84))+Inputs!$B$68*SIN(($B84)))-Inputs!$B$5)*(E84-Inputs!$B$5)+((Inputs!$C$68*SIN(($B84))-Inputs!$B$68*COS(($B84)))-Inputs!$B$6)*(F84-Inputs!$B$6))/G84)&gt;G84-Inputs!$B$40),999,(ABS((E84-Inputs!$B$5)*((Inputs!$C$68*SIN(($B84))-Inputs!$B$68*COS(($B84)))-Inputs!$B$6)-(F84-Inputs!$B$6)*((Inputs!$C$68*COS(($B84))+Inputs!$B$68*SIN(($B84)))-Inputs!$B$5))/G84)-IF(((((Inputs!$C$68*COS(($B84))+Inputs!$B$68*SIN(($B84)))-Inputs!$B$5)*(E84-Inputs!$B$5)+((Inputs!$C$68*SIN(($B84))-Inputs!$B$68*COS(($B84)))-Inputs!$B$6)*(F84-Inputs!$B$6))/G84)&lt;$B$16,$B$7/2,$B$8/2)-Inputs!$B$39),IF(OR(Inputs!$C$69=0,((((Inputs!$C$69*COS(($B84))+Inputs!$B$69*SIN(($B84)))-Inputs!$B$5)*(E84-Inputs!$B$5)+((Inputs!$C$69*SIN(($B84))-Inputs!$B$69*COS(($B84)))-Inputs!$B$6)*(F84-Inputs!$B$6))/G84)&lt;0,((((Inputs!$C$69*COS(($B84))+Inputs!$B$69*SIN(($B84)))-Inputs!$B$5)*(E84-Inputs!$B$5)+((Inputs!$C$69*SIN(($B84))-Inputs!$B$69*COS(($B84)))-Inputs!$B$6)*(F84-Inputs!$B$6))/G84)&gt;G84-Inputs!$B$40),999,(ABS((E84-Inputs!$B$5)*((Inputs!$C$69*SIN(($B84))-Inputs!$B$69*COS(($B84)))-Inputs!$B$6)-(F84-Inputs!$B$6)*((Inputs!$C$69*COS(($B84))+Inputs!$B$69*SIN(($B84)))-Inputs!$B$5))/G84)-IF(((((Inputs!$C$69*COS(($B84))+Inputs!$B$69*SIN(($B84)))-Inputs!$B$5)*(E84-Inputs!$B$5)+((Inputs!$C$69*SIN(($B84))-Inputs!$B$69*COS(($B84)))-Inputs!$B$6)*(F84-Inputs!$B$6))/G84)&lt;$B$16,$B$7/2,$B$8/2)-Inputs!$B$39),IF(OR(Inputs!$C$70=0,((((Inputs!$C$70*COS(($B84))+Inputs!$B$70*SIN(($B84)))-Inputs!$B$5)*(E84-Inputs!$B$5)+((Inputs!$C$70*SIN(($B84))-Inputs!$B$70*COS(($B84)))-Inputs!$B$6)*(F84-Inputs!$B$6))/G84)&lt;0,((((Inputs!$C$70*COS(($B84))+Inputs!$B$70*SIN(($B84)))-Inputs!$B$5)*(E84-Inputs!$B$5)+((Inputs!$C$70*SIN(($B84))-Inputs!$B$70*COS(($B84)))-Inputs!$B$6)*(F84-Inputs!$B$6))/G84)&gt;G84-Inputs!$B$40),999,(ABS((E84-Inputs!$B$5)*((Inputs!$C$70*SIN(($B84))-Inputs!$B$70*COS(($B84)))-Inputs!$B$6)-(F84-Inputs!$B$6)*((Inputs!$C$70*COS(($B84))+Inputs!$B$70*SIN(($B84)))-Inputs!$B$5))/G84)-IF(((((Inputs!$C$70*COS(($B84))+Inputs!$B$70*SIN(($B84)))-Inputs!$B$5)*(E84-Inputs!$B$5)+((Inputs!$C$70*SIN(($B84))-Inputs!$B$70*COS(($B84)))-Inputs!$B$6)*(F84-Inputs!$B$6))/G84)&lt;$B$16,$B$7/2,$B$8/2)-Inputs!$B$39),IF(OR(Inputs!$C$71=0,((((Inputs!$C$71*COS(($B84))+Inputs!$B$71*SIN(($B84)))-Inputs!$B$5)*(E84-Inputs!$B$5)+((Inputs!$C$71*SIN(($B84))-Inputs!$B$71*COS(($B84)))-Inputs!$B$6)*(F84-Inputs!$B$6))/G84)&lt;0,((((Inputs!$C$71*COS(($B84))+Inputs!$B$71*SIN(($B84)))-Inputs!$B$5)*(E84-Inputs!$B$5)+((Inputs!$C$71*SIN(($B84))-Inputs!$B$71*COS(($B84)))-Inputs!$B$6)*(F84-Inputs!$B$6))/G84)&gt;G84-Inputs!$B$40),999,(ABS((E84-Inputs!$B$5)*((Inputs!$C$71*SIN(($B84))-Inputs!$B$71*COS(($B84)))-Inputs!$B$6)-(F84-Inputs!$B$6)*((Inputs!$C$71*COS(($B84))+Inputs!$B$71*SIN(($B84)))-Inputs!$B$5))/G84)-IF(((((Inputs!$C$71*COS(($B84))+Inputs!$B$71*SIN(($B84)))-Inputs!$B$5)*(E84-Inputs!$B$5)+((Inputs!$C$71*SIN(($B84))-Inputs!$B$71*COS(($B84)))-Inputs!$B$6)*(F84-Inputs!$B$6))/G84)&lt;$B$16,$B$7/2,$B$8/2)-Inputs!$B$39),IF(OR(Inputs!$C$72=0,((((Inputs!$C$72*COS(($B84))+Inputs!$B$72*SIN(($B84)))-Inputs!$B$5)*(E84-Inputs!$B$5)+((Inputs!$C$72*SIN(($B84))-Inputs!$B$72*COS(($B84)))-Inputs!$B$6)*(F84-Inputs!$B$6))/G84)&lt;0,((((Inputs!$C$72*COS(($B84))+Inputs!$B$72*SIN(($B84)))-Inputs!$B$5)*(E84-Inputs!$B$5)+((Inputs!$C$72*SIN(($B84))-Inputs!$B$72*COS(($B84)))-Inputs!$B$6)*(F84-Inputs!$B$6))/G84)&gt;G84-Inputs!$B$40),999,(ABS((E84-Inputs!$B$5)*((Inputs!$C$72*SIN(($B84))-Inputs!$B$72*COS(($B84)))-Inputs!$B$6)-(F84-Inputs!$B$6)*((Inputs!$C$72*COS(($B84))+Inputs!$B$72*SIN(($B84)))-Inputs!$B$5))/G84)-IF(((((Inputs!$C$72*COS(($B84))+Inputs!$B$72*SIN(($B84)))-Inputs!$B$5)*(E84-Inputs!$B$5)+((Inputs!$C$72*SIN(($B84))-Inputs!$B$72*COS(($B84)))-Inputs!$B$6)*(F84-Inputs!$B$6))/G84)&lt;$B$16,$B$7/2,$B$8/2)-Inputs!$B$39))</f>
        <v>38.23520732</v>
      </c>
      <c r="J84" s="76">
        <f>IF(AND(G84&gt;=$B$14,G84&lt;=$B$15,H84&lt;=Inputs!$B$38,I84&gt;=0,$D84=1),1,0)</f>
        <v>1</v>
      </c>
      <c r="K84" s="29">
        <f>Inputs!$B$11*COS((-$B84))-Inputs!$B$7*SIN((-$B84))</f>
        <v>58.73651198</v>
      </c>
      <c r="L84" s="29">
        <f>Inputs!$B$11*SIN((-$B84))+Inputs!$B$7*COS((-$B84))</f>
        <v>-213.8649181</v>
      </c>
      <c r="M84" s="29">
        <f>SQRT((K84-Inputs!$B$5)^2+(L84-Inputs!$B$6)^2)</f>
        <v>367.5498723</v>
      </c>
      <c r="N84" s="29">
        <f>MAX(MAX(Inputs!$B$5,(Inputs!$B$5+(K84-Inputs!$B$5)*MIN(1,$B$16/M84)))+$B$7/2,MAX((Inputs!$B$5+(K84-Inputs!$B$5)*MIN(1,$B$16/M84)),K84)+Inputs!$B$41)</f>
        <v>291.8</v>
      </c>
      <c r="O84" s="29">
        <f>MIN(IF(OR(Inputs!$C$68=0,((((Inputs!$C$68*COS((-$B84))+Inputs!$B$68*SIN((-$B84)))-Inputs!$B$5)*(K84-Inputs!$B$5)+((Inputs!$C$68*SIN((-$B84))-Inputs!$B$68*COS((-$B84)))-Inputs!$B$6)*(L84-Inputs!$B$6))/M84)&lt;0,((((Inputs!$C$68*COS((-$B84))+Inputs!$B$68*SIN((-$B84)))-Inputs!$B$5)*(K84-Inputs!$B$5)+((Inputs!$C$68*SIN((-$B84))-Inputs!$B$68*COS((-$B84)))-Inputs!$B$6)*(L84-Inputs!$B$6))/M84)&gt;M84-Inputs!$B$40),999,(ABS((K84-Inputs!$B$5)*((Inputs!$C$68*SIN((-$B84))-Inputs!$B$68*COS((-$B84)))-Inputs!$B$6)-(L84-Inputs!$B$6)*((Inputs!$C$68*COS((-$B84))+Inputs!$B$68*SIN((-$B84)))-Inputs!$B$5))/M84)-IF(((((Inputs!$C$68*COS((-$B84))+Inputs!$B$68*SIN((-$B84)))-Inputs!$B$5)*(K84-Inputs!$B$5)+((Inputs!$C$68*SIN((-$B84))-Inputs!$B$68*COS((-$B84)))-Inputs!$B$6)*(L84-Inputs!$B$6))/M84)&lt;$B$16,$B$7/2,$B$8/2)-Inputs!$B$39),IF(OR(Inputs!$C$69=0,((((Inputs!$C$69*COS((-$B84))+Inputs!$B$69*SIN((-$B84)))-Inputs!$B$5)*(K84-Inputs!$B$5)+((Inputs!$C$69*SIN((-$B84))-Inputs!$B$69*COS((-$B84)))-Inputs!$B$6)*(L84-Inputs!$B$6))/M84)&lt;0,((((Inputs!$C$69*COS((-$B84))+Inputs!$B$69*SIN((-$B84)))-Inputs!$B$5)*(K84-Inputs!$B$5)+((Inputs!$C$69*SIN((-$B84))-Inputs!$B$69*COS((-$B84)))-Inputs!$B$6)*(L84-Inputs!$B$6))/M84)&gt;M84-Inputs!$B$40),999,(ABS((K84-Inputs!$B$5)*((Inputs!$C$69*SIN((-$B84))-Inputs!$B$69*COS((-$B84)))-Inputs!$B$6)-(L84-Inputs!$B$6)*((Inputs!$C$69*COS((-$B84))+Inputs!$B$69*SIN((-$B84)))-Inputs!$B$5))/M84)-IF(((((Inputs!$C$69*COS((-$B84))+Inputs!$B$69*SIN((-$B84)))-Inputs!$B$5)*(K84-Inputs!$B$5)+((Inputs!$C$69*SIN((-$B84))-Inputs!$B$69*COS((-$B84)))-Inputs!$B$6)*(L84-Inputs!$B$6))/M84)&lt;$B$16,$B$7/2,$B$8/2)-Inputs!$B$39),IF(OR(Inputs!$C$70=0,((((Inputs!$C$70*COS((-$B84))+Inputs!$B$70*SIN((-$B84)))-Inputs!$B$5)*(K84-Inputs!$B$5)+((Inputs!$C$70*SIN((-$B84))-Inputs!$B$70*COS((-$B84)))-Inputs!$B$6)*(L84-Inputs!$B$6))/M84)&lt;0,((((Inputs!$C$70*COS((-$B84))+Inputs!$B$70*SIN((-$B84)))-Inputs!$B$5)*(K84-Inputs!$B$5)+((Inputs!$C$70*SIN((-$B84))-Inputs!$B$70*COS((-$B84)))-Inputs!$B$6)*(L84-Inputs!$B$6))/M84)&gt;M84-Inputs!$B$40),999,(ABS((K84-Inputs!$B$5)*((Inputs!$C$70*SIN((-$B84))-Inputs!$B$70*COS((-$B84)))-Inputs!$B$6)-(L84-Inputs!$B$6)*((Inputs!$C$70*COS((-$B84))+Inputs!$B$70*SIN((-$B84)))-Inputs!$B$5))/M84)-IF(((((Inputs!$C$70*COS((-$B84))+Inputs!$B$70*SIN((-$B84)))-Inputs!$B$5)*(K84-Inputs!$B$5)+((Inputs!$C$70*SIN((-$B84))-Inputs!$B$70*COS((-$B84)))-Inputs!$B$6)*(L84-Inputs!$B$6))/M84)&lt;$B$16,$B$7/2,$B$8/2)-Inputs!$B$39),IF(OR(Inputs!$C$71=0,((((Inputs!$C$71*COS((-$B84))+Inputs!$B$71*SIN((-$B84)))-Inputs!$B$5)*(K84-Inputs!$B$5)+((Inputs!$C$71*SIN((-$B84))-Inputs!$B$71*COS((-$B84)))-Inputs!$B$6)*(L84-Inputs!$B$6))/M84)&lt;0,((((Inputs!$C$71*COS((-$B84))+Inputs!$B$71*SIN((-$B84)))-Inputs!$B$5)*(K84-Inputs!$B$5)+((Inputs!$C$71*SIN((-$B84))-Inputs!$B$71*COS((-$B84)))-Inputs!$B$6)*(L84-Inputs!$B$6))/M84)&gt;M84-Inputs!$B$40),999,(ABS((K84-Inputs!$B$5)*((Inputs!$C$71*SIN((-$B84))-Inputs!$B$71*COS((-$B84)))-Inputs!$B$6)-(L84-Inputs!$B$6)*((Inputs!$C$71*COS((-$B84))+Inputs!$B$71*SIN((-$B84)))-Inputs!$B$5))/M84)-IF(((((Inputs!$C$71*COS((-$B84))+Inputs!$B$71*SIN((-$B84)))-Inputs!$B$5)*(K84-Inputs!$B$5)+((Inputs!$C$71*SIN((-$B84))-Inputs!$B$71*COS((-$B84)))-Inputs!$B$6)*(L84-Inputs!$B$6))/M84)&lt;$B$16,$B$7/2,$B$8/2)-Inputs!$B$39),IF(OR(Inputs!$C$72=0,((((Inputs!$C$72*COS((-$B84))+Inputs!$B$72*SIN((-$B84)))-Inputs!$B$5)*(K84-Inputs!$B$5)+((Inputs!$C$72*SIN((-$B84))-Inputs!$B$72*COS((-$B84)))-Inputs!$B$6)*(L84-Inputs!$B$6))/M84)&lt;0,((((Inputs!$C$72*COS((-$B84))+Inputs!$B$72*SIN((-$B84)))-Inputs!$B$5)*(K84-Inputs!$B$5)+((Inputs!$C$72*SIN((-$B84))-Inputs!$B$72*COS((-$B84)))-Inputs!$B$6)*(L84-Inputs!$B$6))/M84)&gt;M84-Inputs!$B$40),999,(ABS((K84-Inputs!$B$5)*((Inputs!$C$72*SIN((-$B84))-Inputs!$B$72*COS((-$B84)))-Inputs!$B$6)-(L84-Inputs!$B$6)*((Inputs!$C$72*COS((-$B84))+Inputs!$B$72*SIN((-$B84)))-Inputs!$B$5))/M84)-IF(((((Inputs!$C$72*COS((-$B84))+Inputs!$B$72*SIN((-$B84)))-Inputs!$B$5)*(K84-Inputs!$B$5)+((Inputs!$C$72*SIN((-$B84))-Inputs!$B$72*COS((-$B84)))-Inputs!$B$6)*(L84-Inputs!$B$6))/M84)&lt;$B$16,$B$7/2,$B$8/2)-Inputs!$B$39))</f>
        <v>12.10469784</v>
      </c>
      <c r="P84" s="76">
        <f>IF(AND(M84&gt;=$B$14,M84&lt;=$B$15,N84&lt;=Inputs!$B$38,O84&gt;=0,$D84=1),1,0)</f>
        <v>1</v>
      </c>
    </row>
    <row r="85" ht="15.75" customHeight="1">
      <c r="A85" s="23">
        <v>10.5</v>
      </c>
      <c r="B85" s="40">
        <f t="shared" si="4"/>
        <v>0.1832595715</v>
      </c>
      <c r="C85" s="29">
        <f>MAX(Inputs!$C$68*COS($B85)+Inputs!$B$68*ABS(SIN($B85)),Inputs!$C$69*COS($B85)+Inputs!$B$69*ABS(SIN($B85)),Inputs!$C$70*COS($B85)+Inputs!$B$70*ABS(SIN($B85)),Inputs!$C$71*COS($B85)+Inputs!$B$71*ABS(SIN($B85)),Inputs!$C$72*COS($B85)+Inputs!$B$72*ABS(SIN($B85)))</f>
        <v>150.3304325</v>
      </c>
      <c r="D85" s="71">
        <f>IF(C85&lt;=Inputs!$B$38,1,0)</f>
        <v>1</v>
      </c>
      <c r="E85" s="29">
        <f>Inputs!$B$11*COS(($B85))-Inputs!$B$7*SIN(($B85))</f>
        <v>130.6970043</v>
      </c>
      <c r="F85" s="29">
        <f>Inputs!$B$11*SIN(($B85))+Inputs!$B$7*COS(($B85))</f>
        <v>-179.1827952</v>
      </c>
      <c r="G85" s="29">
        <f>SQRT((E85-Inputs!$B$5)^2+(F85-Inputs!$B$6)^2)</f>
        <v>303.6053984</v>
      </c>
      <c r="H85" s="29">
        <f>MAX(MAX(Inputs!$B$5,(Inputs!$B$5+(E85-Inputs!$B$5)*MIN(1,$B$16/G85)))+$B$7/2,MAX((Inputs!$B$5+(E85-Inputs!$B$5)*MIN(1,$B$16/G85)),E85)+Inputs!$B$41)</f>
        <v>291.8</v>
      </c>
      <c r="I85" s="29">
        <f>MIN(IF(OR(Inputs!$C$68=0,((((Inputs!$C$68*COS(($B85))+Inputs!$B$68*SIN(($B85)))-Inputs!$B$5)*(E85-Inputs!$B$5)+((Inputs!$C$68*SIN(($B85))-Inputs!$B$68*COS(($B85)))-Inputs!$B$6)*(F85-Inputs!$B$6))/G85)&lt;0,((((Inputs!$C$68*COS(($B85))+Inputs!$B$68*SIN(($B85)))-Inputs!$B$5)*(E85-Inputs!$B$5)+((Inputs!$C$68*SIN(($B85))-Inputs!$B$68*COS(($B85)))-Inputs!$B$6)*(F85-Inputs!$B$6))/G85)&gt;G85-Inputs!$B$40),999,(ABS((E85-Inputs!$B$5)*((Inputs!$C$68*SIN(($B85))-Inputs!$B$68*COS(($B85)))-Inputs!$B$6)-(F85-Inputs!$B$6)*((Inputs!$C$68*COS(($B85))+Inputs!$B$68*SIN(($B85)))-Inputs!$B$5))/G85)-IF(((((Inputs!$C$68*COS(($B85))+Inputs!$B$68*SIN(($B85)))-Inputs!$B$5)*(E85-Inputs!$B$5)+((Inputs!$C$68*SIN(($B85))-Inputs!$B$68*COS(($B85)))-Inputs!$B$6)*(F85-Inputs!$B$6))/G85)&lt;$B$16,$B$7/2,$B$8/2)-Inputs!$B$39),IF(OR(Inputs!$C$69=0,((((Inputs!$C$69*COS(($B85))+Inputs!$B$69*SIN(($B85)))-Inputs!$B$5)*(E85-Inputs!$B$5)+((Inputs!$C$69*SIN(($B85))-Inputs!$B$69*COS(($B85)))-Inputs!$B$6)*(F85-Inputs!$B$6))/G85)&lt;0,((((Inputs!$C$69*COS(($B85))+Inputs!$B$69*SIN(($B85)))-Inputs!$B$5)*(E85-Inputs!$B$5)+((Inputs!$C$69*SIN(($B85))-Inputs!$B$69*COS(($B85)))-Inputs!$B$6)*(F85-Inputs!$B$6))/G85)&gt;G85-Inputs!$B$40),999,(ABS((E85-Inputs!$B$5)*((Inputs!$C$69*SIN(($B85))-Inputs!$B$69*COS(($B85)))-Inputs!$B$6)-(F85-Inputs!$B$6)*((Inputs!$C$69*COS(($B85))+Inputs!$B$69*SIN(($B85)))-Inputs!$B$5))/G85)-IF(((((Inputs!$C$69*COS(($B85))+Inputs!$B$69*SIN(($B85)))-Inputs!$B$5)*(E85-Inputs!$B$5)+((Inputs!$C$69*SIN(($B85))-Inputs!$B$69*COS(($B85)))-Inputs!$B$6)*(F85-Inputs!$B$6))/G85)&lt;$B$16,$B$7/2,$B$8/2)-Inputs!$B$39),IF(OR(Inputs!$C$70=0,((((Inputs!$C$70*COS(($B85))+Inputs!$B$70*SIN(($B85)))-Inputs!$B$5)*(E85-Inputs!$B$5)+((Inputs!$C$70*SIN(($B85))-Inputs!$B$70*COS(($B85)))-Inputs!$B$6)*(F85-Inputs!$B$6))/G85)&lt;0,((((Inputs!$C$70*COS(($B85))+Inputs!$B$70*SIN(($B85)))-Inputs!$B$5)*(E85-Inputs!$B$5)+((Inputs!$C$70*SIN(($B85))-Inputs!$B$70*COS(($B85)))-Inputs!$B$6)*(F85-Inputs!$B$6))/G85)&gt;G85-Inputs!$B$40),999,(ABS((E85-Inputs!$B$5)*((Inputs!$C$70*SIN(($B85))-Inputs!$B$70*COS(($B85)))-Inputs!$B$6)-(F85-Inputs!$B$6)*((Inputs!$C$70*COS(($B85))+Inputs!$B$70*SIN(($B85)))-Inputs!$B$5))/G85)-IF(((((Inputs!$C$70*COS(($B85))+Inputs!$B$70*SIN(($B85)))-Inputs!$B$5)*(E85-Inputs!$B$5)+((Inputs!$C$70*SIN(($B85))-Inputs!$B$70*COS(($B85)))-Inputs!$B$6)*(F85-Inputs!$B$6))/G85)&lt;$B$16,$B$7/2,$B$8/2)-Inputs!$B$39),IF(OR(Inputs!$C$71=0,((((Inputs!$C$71*COS(($B85))+Inputs!$B$71*SIN(($B85)))-Inputs!$B$5)*(E85-Inputs!$B$5)+((Inputs!$C$71*SIN(($B85))-Inputs!$B$71*COS(($B85)))-Inputs!$B$6)*(F85-Inputs!$B$6))/G85)&lt;0,((((Inputs!$C$71*COS(($B85))+Inputs!$B$71*SIN(($B85)))-Inputs!$B$5)*(E85-Inputs!$B$5)+((Inputs!$C$71*SIN(($B85))-Inputs!$B$71*COS(($B85)))-Inputs!$B$6)*(F85-Inputs!$B$6))/G85)&gt;G85-Inputs!$B$40),999,(ABS((E85-Inputs!$B$5)*((Inputs!$C$71*SIN(($B85))-Inputs!$B$71*COS(($B85)))-Inputs!$B$6)-(F85-Inputs!$B$6)*((Inputs!$C$71*COS(($B85))+Inputs!$B$71*SIN(($B85)))-Inputs!$B$5))/G85)-IF(((((Inputs!$C$71*COS(($B85))+Inputs!$B$71*SIN(($B85)))-Inputs!$B$5)*(E85-Inputs!$B$5)+((Inputs!$C$71*SIN(($B85))-Inputs!$B$71*COS(($B85)))-Inputs!$B$6)*(F85-Inputs!$B$6))/G85)&lt;$B$16,$B$7/2,$B$8/2)-Inputs!$B$39),IF(OR(Inputs!$C$72=0,((((Inputs!$C$72*COS(($B85))+Inputs!$B$72*SIN(($B85)))-Inputs!$B$5)*(E85-Inputs!$B$5)+((Inputs!$C$72*SIN(($B85))-Inputs!$B$72*COS(($B85)))-Inputs!$B$6)*(F85-Inputs!$B$6))/G85)&lt;0,((((Inputs!$C$72*COS(($B85))+Inputs!$B$72*SIN(($B85)))-Inputs!$B$5)*(E85-Inputs!$B$5)+((Inputs!$C$72*SIN(($B85))-Inputs!$B$72*COS(($B85)))-Inputs!$B$6)*(F85-Inputs!$B$6))/G85)&gt;G85-Inputs!$B$40),999,(ABS((E85-Inputs!$B$5)*((Inputs!$C$72*SIN(($B85))-Inputs!$B$72*COS(($B85)))-Inputs!$B$6)-(F85-Inputs!$B$6)*((Inputs!$C$72*COS(($B85))+Inputs!$B$72*SIN(($B85)))-Inputs!$B$5))/G85)-IF(((((Inputs!$C$72*COS(($B85))+Inputs!$B$72*SIN(($B85)))-Inputs!$B$5)*(E85-Inputs!$B$5)+((Inputs!$C$72*SIN(($B85))-Inputs!$B$72*COS(($B85)))-Inputs!$B$6)*(F85-Inputs!$B$6))/G85)&lt;$B$16,$B$7/2,$B$8/2)-Inputs!$B$39))</f>
        <v>38.54341558</v>
      </c>
      <c r="J85" s="76">
        <f>IF(AND(G85&gt;=$B$14,G85&lt;=$B$15,H85&lt;=Inputs!$B$38,I85&gt;=0,$D85=1),1,0)</f>
        <v>1</v>
      </c>
      <c r="K85" s="29">
        <f>Inputs!$B$11*COS((-$B85))-Inputs!$B$7*SIN((-$B85))</f>
        <v>57.80279407</v>
      </c>
      <c r="L85" s="29">
        <f>Inputs!$B$11*SIN((-$B85))+Inputs!$B$7*COS((-$B85))</f>
        <v>-214.1191678</v>
      </c>
      <c r="M85" s="29">
        <f>SQRT((K85-Inputs!$B$5)^2+(L85-Inputs!$B$6)^2)</f>
        <v>368.2534692</v>
      </c>
      <c r="N85" s="29">
        <f>MAX(MAX(Inputs!$B$5,(Inputs!$B$5+(K85-Inputs!$B$5)*MIN(1,$B$16/M85)))+$B$7/2,MAX((Inputs!$B$5+(K85-Inputs!$B$5)*MIN(1,$B$16/M85)),K85)+Inputs!$B$41)</f>
        <v>291.8</v>
      </c>
      <c r="O85" s="29">
        <f>MIN(IF(OR(Inputs!$C$68=0,((((Inputs!$C$68*COS((-$B85))+Inputs!$B$68*SIN((-$B85)))-Inputs!$B$5)*(K85-Inputs!$B$5)+((Inputs!$C$68*SIN((-$B85))-Inputs!$B$68*COS((-$B85)))-Inputs!$B$6)*(L85-Inputs!$B$6))/M85)&lt;0,((((Inputs!$C$68*COS((-$B85))+Inputs!$B$68*SIN((-$B85)))-Inputs!$B$5)*(K85-Inputs!$B$5)+((Inputs!$C$68*SIN((-$B85))-Inputs!$B$68*COS((-$B85)))-Inputs!$B$6)*(L85-Inputs!$B$6))/M85)&gt;M85-Inputs!$B$40),999,(ABS((K85-Inputs!$B$5)*((Inputs!$C$68*SIN((-$B85))-Inputs!$B$68*COS((-$B85)))-Inputs!$B$6)-(L85-Inputs!$B$6)*((Inputs!$C$68*COS((-$B85))+Inputs!$B$68*SIN((-$B85)))-Inputs!$B$5))/M85)-IF(((((Inputs!$C$68*COS((-$B85))+Inputs!$B$68*SIN((-$B85)))-Inputs!$B$5)*(K85-Inputs!$B$5)+((Inputs!$C$68*SIN((-$B85))-Inputs!$B$68*COS((-$B85)))-Inputs!$B$6)*(L85-Inputs!$B$6))/M85)&lt;$B$16,$B$7/2,$B$8/2)-Inputs!$B$39),IF(OR(Inputs!$C$69=0,((((Inputs!$C$69*COS((-$B85))+Inputs!$B$69*SIN((-$B85)))-Inputs!$B$5)*(K85-Inputs!$B$5)+((Inputs!$C$69*SIN((-$B85))-Inputs!$B$69*COS((-$B85)))-Inputs!$B$6)*(L85-Inputs!$B$6))/M85)&lt;0,((((Inputs!$C$69*COS((-$B85))+Inputs!$B$69*SIN((-$B85)))-Inputs!$B$5)*(K85-Inputs!$B$5)+((Inputs!$C$69*SIN((-$B85))-Inputs!$B$69*COS((-$B85)))-Inputs!$B$6)*(L85-Inputs!$B$6))/M85)&gt;M85-Inputs!$B$40),999,(ABS((K85-Inputs!$B$5)*((Inputs!$C$69*SIN((-$B85))-Inputs!$B$69*COS((-$B85)))-Inputs!$B$6)-(L85-Inputs!$B$6)*((Inputs!$C$69*COS((-$B85))+Inputs!$B$69*SIN((-$B85)))-Inputs!$B$5))/M85)-IF(((((Inputs!$C$69*COS((-$B85))+Inputs!$B$69*SIN((-$B85)))-Inputs!$B$5)*(K85-Inputs!$B$5)+((Inputs!$C$69*SIN((-$B85))-Inputs!$B$69*COS((-$B85)))-Inputs!$B$6)*(L85-Inputs!$B$6))/M85)&lt;$B$16,$B$7/2,$B$8/2)-Inputs!$B$39),IF(OR(Inputs!$C$70=0,((((Inputs!$C$70*COS((-$B85))+Inputs!$B$70*SIN((-$B85)))-Inputs!$B$5)*(K85-Inputs!$B$5)+((Inputs!$C$70*SIN((-$B85))-Inputs!$B$70*COS((-$B85)))-Inputs!$B$6)*(L85-Inputs!$B$6))/M85)&lt;0,((((Inputs!$C$70*COS((-$B85))+Inputs!$B$70*SIN((-$B85)))-Inputs!$B$5)*(K85-Inputs!$B$5)+((Inputs!$C$70*SIN((-$B85))-Inputs!$B$70*COS((-$B85)))-Inputs!$B$6)*(L85-Inputs!$B$6))/M85)&gt;M85-Inputs!$B$40),999,(ABS((K85-Inputs!$B$5)*((Inputs!$C$70*SIN((-$B85))-Inputs!$B$70*COS((-$B85)))-Inputs!$B$6)-(L85-Inputs!$B$6)*((Inputs!$C$70*COS((-$B85))+Inputs!$B$70*SIN((-$B85)))-Inputs!$B$5))/M85)-IF(((((Inputs!$C$70*COS((-$B85))+Inputs!$B$70*SIN((-$B85)))-Inputs!$B$5)*(K85-Inputs!$B$5)+((Inputs!$C$70*SIN((-$B85))-Inputs!$B$70*COS((-$B85)))-Inputs!$B$6)*(L85-Inputs!$B$6))/M85)&lt;$B$16,$B$7/2,$B$8/2)-Inputs!$B$39),IF(OR(Inputs!$C$71=0,((((Inputs!$C$71*COS((-$B85))+Inputs!$B$71*SIN((-$B85)))-Inputs!$B$5)*(K85-Inputs!$B$5)+((Inputs!$C$71*SIN((-$B85))-Inputs!$B$71*COS((-$B85)))-Inputs!$B$6)*(L85-Inputs!$B$6))/M85)&lt;0,((((Inputs!$C$71*COS((-$B85))+Inputs!$B$71*SIN((-$B85)))-Inputs!$B$5)*(K85-Inputs!$B$5)+((Inputs!$C$71*SIN((-$B85))-Inputs!$B$71*COS((-$B85)))-Inputs!$B$6)*(L85-Inputs!$B$6))/M85)&gt;M85-Inputs!$B$40),999,(ABS((K85-Inputs!$B$5)*((Inputs!$C$71*SIN((-$B85))-Inputs!$B$71*COS((-$B85)))-Inputs!$B$6)-(L85-Inputs!$B$6)*((Inputs!$C$71*COS((-$B85))+Inputs!$B$71*SIN((-$B85)))-Inputs!$B$5))/M85)-IF(((((Inputs!$C$71*COS((-$B85))+Inputs!$B$71*SIN((-$B85)))-Inputs!$B$5)*(K85-Inputs!$B$5)+((Inputs!$C$71*SIN((-$B85))-Inputs!$B$71*COS((-$B85)))-Inputs!$B$6)*(L85-Inputs!$B$6))/M85)&lt;$B$16,$B$7/2,$B$8/2)-Inputs!$B$39),IF(OR(Inputs!$C$72=0,((((Inputs!$C$72*COS((-$B85))+Inputs!$B$72*SIN((-$B85)))-Inputs!$B$5)*(K85-Inputs!$B$5)+((Inputs!$C$72*SIN((-$B85))-Inputs!$B$72*COS((-$B85)))-Inputs!$B$6)*(L85-Inputs!$B$6))/M85)&lt;0,((((Inputs!$C$72*COS((-$B85))+Inputs!$B$72*SIN((-$B85)))-Inputs!$B$5)*(K85-Inputs!$B$5)+((Inputs!$C$72*SIN((-$B85))-Inputs!$B$72*COS((-$B85)))-Inputs!$B$6)*(L85-Inputs!$B$6))/M85)&gt;M85-Inputs!$B$40),999,(ABS((K85-Inputs!$B$5)*((Inputs!$C$72*SIN((-$B85))-Inputs!$B$72*COS((-$B85)))-Inputs!$B$6)-(L85-Inputs!$B$6)*((Inputs!$C$72*COS((-$B85))+Inputs!$B$72*SIN((-$B85)))-Inputs!$B$5))/M85)-IF(((((Inputs!$C$72*COS((-$B85))+Inputs!$B$72*SIN((-$B85)))-Inputs!$B$5)*(K85-Inputs!$B$5)+((Inputs!$C$72*SIN((-$B85))-Inputs!$B$72*COS((-$B85)))-Inputs!$B$6)*(L85-Inputs!$B$6))/M85)&lt;$B$16,$B$7/2,$B$8/2)-Inputs!$B$39))</f>
        <v>11.7769014</v>
      </c>
      <c r="P85" s="76">
        <f>IF(AND(M85&gt;=$B$14,M85&lt;=$B$15,N85&lt;=Inputs!$B$38,O85&gt;=0,$D85=1),1,0)</f>
        <v>1</v>
      </c>
    </row>
    <row r="86" ht="15.75" customHeight="1">
      <c r="A86" s="23">
        <v>10.75</v>
      </c>
      <c r="B86" s="40">
        <f t="shared" si="4"/>
        <v>0.1876228946</v>
      </c>
      <c r="C86" s="29">
        <f>MAX(Inputs!$C$68*COS($B86)+Inputs!$B$68*ABS(SIN($B86)),Inputs!$C$69*COS($B86)+Inputs!$B$69*ABS(SIN($B86)),Inputs!$C$70*COS($B86)+Inputs!$B$70*ABS(SIN($B86)),Inputs!$C$71*COS($B86)+Inputs!$B$71*ABS(SIN($B86)),Inputs!$C$72*COS($B86)+Inputs!$B$72*ABS(SIN($B86)))</f>
        <v>151.976611</v>
      </c>
      <c r="D86" s="71">
        <f>IF(C86&lt;=Inputs!$B$38,1,0)</f>
        <v>1</v>
      </c>
      <c r="E86" s="29">
        <f>Inputs!$B$11*COS(($B86))-Inputs!$B$7*SIN(($B86))</f>
        <v>131.4775901</v>
      </c>
      <c r="F86" s="29">
        <f>Inputs!$B$11*SIN(($B86))+Inputs!$B$7*COS(($B86))</f>
        <v>-178.6108181</v>
      </c>
      <c r="G86" s="29">
        <f>SQRT((E86-Inputs!$B$5)^2+(F86-Inputs!$B$6)^2)</f>
        <v>302.7730992</v>
      </c>
      <c r="H86" s="29">
        <f>MAX(MAX(Inputs!$B$5,(Inputs!$B$5+(E86-Inputs!$B$5)*MIN(1,$B$16/G86)))+$B$7/2,MAX((Inputs!$B$5+(E86-Inputs!$B$5)*MIN(1,$B$16/G86)),E86)+Inputs!$B$41)</f>
        <v>291.8</v>
      </c>
      <c r="I86" s="29">
        <f>MIN(IF(OR(Inputs!$C$68=0,((((Inputs!$C$68*COS(($B86))+Inputs!$B$68*SIN(($B86)))-Inputs!$B$5)*(E86-Inputs!$B$5)+((Inputs!$C$68*SIN(($B86))-Inputs!$B$68*COS(($B86)))-Inputs!$B$6)*(F86-Inputs!$B$6))/G86)&lt;0,((((Inputs!$C$68*COS(($B86))+Inputs!$B$68*SIN(($B86)))-Inputs!$B$5)*(E86-Inputs!$B$5)+((Inputs!$C$68*SIN(($B86))-Inputs!$B$68*COS(($B86)))-Inputs!$B$6)*(F86-Inputs!$B$6))/G86)&gt;G86-Inputs!$B$40),999,(ABS((E86-Inputs!$B$5)*((Inputs!$C$68*SIN(($B86))-Inputs!$B$68*COS(($B86)))-Inputs!$B$6)-(F86-Inputs!$B$6)*((Inputs!$C$68*COS(($B86))+Inputs!$B$68*SIN(($B86)))-Inputs!$B$5))/G86)-IF(((((Inputs!$C$68*COS(($B86))+Inputs!$B$68*SIN(($B86)))-Inputs!$B$5)*(E86-Inputs!$B$5)+((Inputs!$C$68*SIN(($B86))-Inputs!$B$68*COS(($B86)))-Inputs!$B$6)*(F86-Inputs!$B$6))/G86)&lt;$B$16,$B$7/2,$B$8/2)-Inputs!$B$39),IF(OR(Inputs!$C$69=0,((((Inputs!$C$69*COS(($B86))+Inputs!$B$69*SIN(($B86)))-Inputs!$B$5)*(E86-Inputs!$B$5)+((Inputs!$C$69*SIN(($B86))-Inputs!$B$69*COS(($B86)))-Inputs!$B$6)*(F86-Inputs!$B$6))/G86)&lt;0,((((Inputs!$C$69*COS(($B86))+Inputs!$B$69*SIN(($B86)))-Inputs!$B$5)*(E86-Inputs!$B$5)+((Inputs!$C$69*SIN(($B86))-Inputs!$B$69*COS(($B86)))-Inputs!$B$6)*(F86-Inputs!$B$6))/G86)&gt;G86-Inputs!$B$40),999,(ABS((E86-Inputs!$B$5)*((Inputs!$C$69*SIN(($B86))-Inputs!$B$69*COS(($B86)))-Inputs!$B$6)-(F86-Inputs!$B$6)*((Inputs!$C$69*COS(($B86))+Inputs!$B$69*SIN(($B86)))-Inputs!$B$5))/G86)-IF(((((Inputs!$C$69*COS(($B86))+Inputs!$B$69*SIN(($B86)))-Inputs!$B$5)*(E86-Inputs!$B$5)+((Inputs!$C$69*SIN(($B86))-Inputs!$B$69*COS(($B86)))-Inputs!$B$6)*(F86-Inputs!$B$6))/G86)&lt;$B$16,$B$7/2,$B$8/2)-Inputs!$B$39),IF(OR(Inputs!$C$70=0,((((Inputs!$C$70*COS(($B86))+Inputs!$B$70*SIN(($B86)))-Inputs!$B$5)*(E86-Inputs!$B$5)+((Inputs!$C$70*SIN(($B86))-Inputs!$B$70*COS(($B86)))-Inputs!$B$6)*(F86-Inputs!$B$6))/G86)&lt;0,((((Inputs!$C$70*COS(($B86))+Inputs!$B$70*SIN(($B86)))-Inputs!$B$5)*(E86-Inputs!$B$5)+((Inputs!$C$70*SIN(($B86))-Inputs!$B$70*COS(($B86)))-Inputs!$B$6)*(F86-Inputs!$B$6))/G86)&gt;G86-Inputs!$B$40),999,(ABS((E86-Inputs!$B$5)*((Inputs!$C$70*SIN(($B86))-Inputs!$B$70*COS(($B86)))-Inputs!$B$6)-(F86-Inputs!$B$6)*((Inputs!$C$70*COS(($B86))+Inputs!$B$70*SIN(($B86)))-Inputs!$B$5))/G86)-IF(((((Inputs!$C$70*COS(($B86))+Inputs!$B$70*SIN(($B86)))-Inputs!$B$5)*(E86-Inputs!$B$5)+((Inputs!$C$70*SIN(($B86))-Inputs!$B$70*COS(($B86)))-Inputs!$B$6)*(F86-Inputs!$B$6))/G86)&lt;$B$16,$B$7/2,$B$8/2)-Inputs!$B$39),IF(OR(Inputs!$C$71=0,((((Inputs!$C$71*COS(($B86))+Inputs!$B$71*SIN(($B86)))-Inputs!$B$5)*(E86-Inputs!$B$5)+((Inputs!$C$71*SIN(($B86))-Inputs!$B$71*COS(($B86)))-Inputs!$B$6)*(F86-Inputs!$B$6))/G86)&lt;0,((((Inputs!$C$71*COS(($B86))+Inputs!$B$71*SIN(($B86)))-Inputs!$B$5)*(E86-Inputs!$B$5)+((Inputs!$C$71*SIN(($B86))-Inputs!$B$71*COS(($B86)))-Inputs!$B$6)*(F86-Inputs!$B$6))/G86)&gt;G86-Inputs!$B$40),999,(ABS((E86-Inputs!$B$5)*((Inputs!$C$71*SIN(($B86))-Inputs!$B$71*COS(($B86)))-Inputs!$B$6)-(F86-Inputs!$B$6)*((Inputs!$C$71*COS(($B86))+Inputs!$B$71*SIN(($B86)))-Inputs!$B$5))/G86)-IF(((((Inputs!$C$71*COS(($B86))+Inputs!$B$71*SIN(($B86)))-Inputs!$B$5)*(E86-Inputs!$B$5)+((Inputs!$C$71*SIN(($B86))-Inputs!$B$71*COS(($B86)))-Inputs!$B$6)*(F86-Inputs!$B$6))/G86)&lt;$B$16,$B$7/2,$B$8/2)-Inputs!$B$39),IF(OR(Inputs!$C$72=0,((((Inputs!$C$72*COS(($B86))+Inputs!$B$72*SIN(($B86)))-Inputs!$B$5)*(E86-Inputs!$B$5)+((Inputs!$C$72*SIN(($B86))-Inputs!$B$72*COS(($B86)))-Inputs!$B$6)*(F86-Inputs!$B$6))/G86)&lt;0,((((Inputs!$C$72*COS(($B86))+Inputs!$B$72*SIN(($B86)))-Inputs!$B$5)*(E86-Inputs!$B$5)+((Inputs!$C$72*SIN(($B86))-Inputs!$B$72*COS(($B86)))-Inputs!$B$6)*(F86-Inputs!$B$6))/G86)&gt;G86-Inputs!$B$40),999,(ABS((E86-Inputs!$B$5)*((Inputs!$C$72*SIN(($B86))-Inputs!$B$72*COS(($B86)))-Inputs!$B$6)-(F86-Inputs!$B$6)*((Inputs!$C$72*COS(($B86))+Inputs!$B$72*SIN(($B86)))-Inputs!$B$5))/G86)-IF(((((Inputs!$C$72*COS(($B86))+Inputs!$B$72*SIN(($B86)))-Inputs!$B$5)*(E86-Inputs!$B$5)+((Inputs!$C$72*SIN(($B86))-Inputs!$B$72*COS(($B86)))-Inputs!$B$6)*(F86-Inputs!$B$6))/G86)&lt;$B$16,$B$7/2,$B$8/2)-Inputs!$B$39))</f>
        <v>38.8513418</v>
      </c>
      <c r="J86" s="76">
        <f>IF(AND(G86&gt;=$B$14,G86&lt;=$B$15,H86&lt;=Inputs!$B$38,I86&gt;=0,$D86=1),1,0)</f>
        <v>1</v>
      </c>
      <c r="K86" s="29">
        <f>Inputs!$B$11*COS((-$B86))-Inputs!$B$7*SIN((-$B86))</f>
        <v>56.86797567</v>
      </c>
      <c r="L86" s="29">
        <f>Inputs!$B$11*SIN((-$B86))+Inputs!$B$7*COS((-$B86))</f>
        <v>-214.369341</v>
      </c>
      <c r="M86" s="29">
        <f>SQRT((K86-Inputs!$B$5)^2+(L86-Inputs!$B$6)^2)</f>
        <v>368.955365</v>
      </c>
      <c r="N86" s="29">
        <f>MAX(MAX(Inputs!$B$5,(Inputs!$B$5+(K86-Inputs!$B$5)*MIN(1,$B$16/M86)))+$B$7/2,MAX((Inputs!$B$5+(K86-Inputs!$B$5)*MIN(1,$B$16/M86)),K86)+Inputs!$B$41)</f>
        <v>291.8</v>
      </c>
      <c r="O86" s="29">
        <f>MIN(IF(OR(Inputs!$C$68=0,((((Inputs!$C$68*COS((-$B86))+Inputs!$B$68*SIN((-$B86)))-Inputs!$B$5)*(K86-Inputs!$B$5)+((Inputs!$C$68*SIN((-$B86))-Inputs!$B$68*COS((-$B86)))-Inputs!$B$6)*(L86-Inputs!$B$6))/M86)&lt;0,((((Inputs!$C$68*COS((-$B86))+Inputs!$B$68*SIN((-$B86)))-Inputs!$B$5)*(K86-Inputs!$B$5)+((Inputs!$C$68*SIN((-$B86))-Inputs!$B$68*COS((-$B86)))-Inputs!$B$6)*(L86-Inputs!$B$6))/M86)&gt;M86-Inputs!$B$40),999,(ABS((K86-Inputs!$B$5)*((Inputs!$C$68*SIN((-$B86))-Inputs!$B$68*COS((-$B86)))-Inputs!$B$6)-(L86-Inputs!$B$6)*((Inputs!$C$68*COS((-$B86))+Inputs!$B$68*SIN((-$B86)))-Inputs!$B$5))/M86)-IF(((((Inputs!$C$68*COS((-$B86))+Inputs!$B$68*SIN((-$B86)))-Inputs!$B$5)*(K86-Inputs!$B$5)+((Inputs!$C$68*SIN((-$B86))-Inputs!$B$68*COS((-$B86)))-Inputs!$B$6)*(L86-Inputs!$B$6))/M86)&lt;$B$16,$B$7/2,$B$8/2)-Inputs!$B$39),IF(OR(Inputs!$C$69=0,((((Inputs!$C$69*COS((-$B86))+Inputs!$B$69*SIN((-$B86)))-Inputs!$B$5)*(K86-Inputs!$B$5)+((Inputs!$C$69*SIN((-$B86))-Inputs!$B$69*COS((-$B86)))-Inputs!$B$6)*(L86-Inputs!$B$6))/M86)&lt;0,((((Inputs!$C$69*COS((-$B86))+Inputs!$B$69*SIN((-$B86)))-Inputs!$B$5)*(K86-Inputs!$B$5)+((Inputs!$C$69*SIN((-$B86))-Inputs!$B$69*COS((-$B86)))-Inputs!$B$6)*(L86-Inputs!$B$6))/M86)&gt;M86-Inputs!$B$40),999,(ABS((K86-Inputs!$B$5)*((Inputs!$C$69*SIN((-$B86))-Inputs!$B$69*COS((-$B86)))-Inputs!$B$6)-(L86-Inputs!$B$6)*((Inputs!$C$69*COS((-$B86))+Inputs!$B$69*SIN((-$B86)))-Inputs!$B$5))/M86)-IF(((((Inputs!$C$69*COS((-$B86))+Inputs!$B$69*SIN((-$B86)))-Inputs!$B$5)*(K86-Inputs!$B$5)+((Inputs!$C$69*SIN((-$B86))-Inputs!$B$69*COS((-$B86)))-Inputs!$B$6)*(L86-Inputs!$B$6))/M86)&lt;$B$16,$B$7/2,$B$8/2)-Inputs!$B$39),IF(OR(Inputs!$C$70=0,((((Inputs!$C$70*COS((-$B86))+Inputs!$B$70*SIN((-$B86)))-Inputs!$B$5)*(K86-Inputs!$B$5)+((Inputs!$C$70*SIN((-$B86))-Inputs!$B$70*COS((-$B86)))-Inputs!$B$6)*(L86-Inputs!$B$6))/M86)&lt;0,((((Inputs!$C$70*COS((-$B86))+Inputs!$B$70*SIN((-$B86)))-Inputs!$B$5)*(K86-Inputs!$B$5)+((Inputs!$C$70*SIN((-$B86))-Inputs!$B$70*COS((-$B86)))-Inputs!$B$6)*(L86-Inputs!$B$6))/M86)&gt;M86-Inputs!$B$40),999,(ABS((K86-Inputs!$B$5)*((Inputs!$C$70*SIN((-$B86))-Inputs!$B$70*COS((-$B86)))-Inputs!$B$6)-(L86-Inputs!$B$6)*((Inputs!$C$70*COS((-$B86))+Inputs!$B$70*SIN((-$B86)))-Inputs!$B$5))/M86)-IF(((((Inputs!$C$70*COS((-$B86))+Inputs!$B$70*SIN((-$B86)))-Inputs!$B$5)*(K86-Inputs!$B$5)+((Inputs!$C$70*SIN((-$B86))-Inputs!$B$70*COS((-$B86)))-Inputs!$B$6)*(L86-Inputs!$B$6))/M86)&lt;$B$16,$B$7/2,$B$8/2)-Inputs!$B$39),IF(OR(Inputs!$C$71=0,((((Inputs!$C$71*COS((-$B86))+Inputs!$B$71*SIN((-$B86)))-Inputs!$B$5)*(K86-Inputs!$B$5)+((Inputs!$C$71*SIN((-$B86))-Inputs!$B$71*COS((-$B86)))-Inputs!$B$6)*(L86-Inputs!$B$6))/M86)&lt;0,((((Inputs!$C$71*COS((-$B86))+Inputs!$B$71*SIN((-$B86)))-Inputs!$B$5)*(K86-Inputs!$B$5)+((Inputs!$C$71*SIN((-$B86))-Inputs!$B$71*COS((-$B86)))-Inputs!$B$6)*(L86-Inputs!$B$6))/M86)&gt;M86-Inputs!$B$40),999,(ABS((K86-Inputs!$B$5)*((Inputs!$C$71*SIN((-$B86))-Inputs!$B$71*COS((-$B86)))-Inputs!$B$6)-(L86-Inputs!$B$6)*((Inputs!$C$71*COS((-$B86))+Inputs!$B$71*SIN((-$B86)))-Inputs!$B$5))/M86)-IF(((((Inputs!$C$71*COS((-$B86))+Inputs!$B$71*SIN((-$B86)))-Inputs!$B$5)*(K86-Inputs!$B$5)+((Inputs!$C$71*SIN((-$B86))-Inputs!$B$71*COS((-$B86)))-Inputs!$B$6)*(L86-Inputs!$B$6))/M86)&lt;$B$16,$B$7/2,$B$8/2)-Inputs!$B$39),IF(OR(Inputs!$C$72=0,((((Inputs!$C$72*COS((-$B86))+Inputs!$B$72*SIN((-$B86)))-Inputs!$B$5)*(K86-Inputs!$B$5)+((Inputs!$C$72*SIN((-$B86))-Inputs!$B$72*COS((-$B86)))-Inputs!$B$6)*(L86-Inputs!$B$6))/M86)&lt;0,((((Inputs!$C$72*COS((-$B86))+Inputs!$B$72*SIN((-$B86)))-Inputs!$B$5)*(K86-Inputs!$B$5)+((Inputs!$C$72*SIN((-$B86))-Inputs!$B$72*COS((-$B86)))-Inputs!$B$6)*(L86-Inputs!$B$6))/M86)&gt;M86-Inputs!$B$40),999,(ABS((K86-Inputs!$B$5)*((Inputs!$C$72*SIN((-$B86))-Inputs!$B$72*COS((-$B86)))-Inputs!$B$6)-(L86-Inputs!$B$6)*((Inputs!$C$72*COS((-$B86))+Inputs!$B$72*SIN((-$B86)))-Inputs!$B$5))/M86)-IF(((((Inputs!$C$72*COS((-$B86))+Inputs!$B$72*SIN((-$B86)))-Inputs!$B$5)*(K86-Inputs!$B$5)+((Inputs!$C$72*SIN((-$B86))-Inputs!$B$72*COS((-$B86)))-Inputs!$B$6)*(L86-Inputs!$B$6))/M86)&lt;$B$16,$B$7/2,$B$8/2)-Inputs!$B$39))</f>
        <v>11.44891871</v>
      </c>
      <c r="P86" s="76">
        <f>IF(AND(M86&gt;=$B$14,M86&lt;=$B$15,N86&lt;=Inputs!$B$38,O86&gt;=0,$D86=1),1,0)</f>
        <v>1</v>
      </c>
    </row>
    <row r="87" ht="15.75" customHeight="1">
      <c r="A87" s="23">
        <v>11.0</v>
      </c>
      <c r="B87" s="40">
        <f t="shared" si="4"/>
        <v>0.1919862177</v>
      </c>
      <c r="C87" s="29">
        <f>MAX(Inputs!$C$68*COS($B87)+Inputs!$B$68*ABS(SIN($B87)),Inputs!$C$69*COS($B87)+Inputs!$B$69*ABS(SIN($B87)),Inputs!$C$70*COS($B87)+Inputs!$B$70*ABS(SIN($B87)),Inputs!$C$71*COS($B87)+Inputs!$B$71*ABS(SIN($B87)),Inputs!$C$72*COS($B87)+Inputs!$B$72*ABS(SIN($B87)))</f>
        <v>153.6198962</v>
      </c>
      <c r="D87" s="71">
        <f>IF(C87&lt;=Inputs!$B$38,1,0)</f>
        <v>1</v>
      </c>
      <c r="E87" s="29">
        <f>Inputs!$B$11*COS(($B87))-Inputs!$B$7*SIN(($B87))</f>
        <v>132.2556727</v>
      </c>
      <c r="F87" s="29">
        <f>Inputs!$B$11*SIN(($B87))+Inputs!$B$7*COS(($B87))</f>
        <v>-178.0354404</v>
      </c>
      <c r="G87" s="29">
        <f>SQRT((E87-Inputs!$B$5)^2+(F87-Inputs!$B$6)^2)</f>
        <v>301.9394521</v>
      </c>
      <c r="H87" s="29">
        <f>MAX(MAX(Inputs!$B$5,(Inputs!$B$5+(E87-Inputs!$B$5)*MIN(1,$B$16/G87)))+$B$7/2,MAX((Inputs!$B$5+(E87-Inputs!$B$5)*MIN(1,$B$16/G87)),E87)+Inputs!$B$41)</f>
        <v>291.8</v>
      </c>
      <c r="I87" s="29">
        <f>MIN(IF(OR(Inputs!$C$68=0,((((Inputs!$C$68*COS(($B87))+Inputs!$B$68*SIN(($B87)))-Inputs!$B$5)*(E87-Inputs!$B$5)+((Inputs!$C$68*SIN(($B87))-Inputs!$B$68*COS(($B87)))-Inputs!$B$6)*(F87-Inputs!$B$6))/G87)&lt;0,((((Inputs!$C$68*COS(($B87))+Inputs!$B$68*SIN(($B87)))-Inputs!$B$5)*(E87-Inputs!$B$5)+((Inputs!$C$68*SIN(($B87))-Inputs!$B$68*COS(($B87)))-Inputs!$B$6)*(F87-Inputs!$B$6))/G87)&gt;G87-Inputs!$B$40),999,(ABS((E87-Inputs!$B$5)*((Inputs!$C$68*SIN(($B87))-Inputs!$B$68*COS(($B87)))-Inputs!$B$6)-(F87-Inputs!$B$6)*((Inputs!$C$68*COS(($B87))+Inputs!$B$68*SIN(($B87)))-Inputs!$B$5))/G87)-IF(((((Inputs!$C$68*COS(($B87))+Inputs!$B$68*SIN(($B87)))-Inputs!$B$5)*(E87-Inputs!$B$5)+((Inputs!$C$68*SIN(($B87))-Inputs!$B$68*COS(($B87)))-Inputs!$B$6)*(F87-Inputs!$B$6))/G87)&lt;$B$16,$B$7/2,$B$8/2)-Inputs!$B$39),IF(OR(Inputs!$C$69=0,((((Inputs!$C$69*COS(($B87))+Inputs!$B$69*SIN(($B87)))-Inputs!$B$5)*(E87-Inputs!$B$5)+((Inputs!$C$69*SIN(($B87))-Inputs!$B$69*COS(($B87)))-Inputs!$B$6)*(F87-Inputs!$B$6))/G87)&lt;0,((((Inputs!$C$69*COS(($B87))+Inputs!$B$69*SIN(($B87)))-Inputs!$B$5)*(E87-Inputs!$B$5)+((Inputs!$C$69*SIN(($B87))-Inputs!$B$69*COS(($B87)))-Inputs!$B$6)*(F87-Inputs!$B$6))/G87)&gt;G87-Inputs!$B$40),999,(ABS((E87-Inputs!$B$5)*((Inputs!$C$69*SIN(($B87))-Inputs!$B$69*COS(($B87)))-Inputs!$B$6)-(F87-Inputs!$B$6)*((Inputs!$C$69*COS(($B87))+Inputs!$B$69*SIN(($B87)))-Inputs!$B$5))/G87)-IF(((((Inputs!$C$69*COS(($B87))+Inputs!$B$69*SIN(($B87)))-Inputs!$B$5)*(E87-Inputs!$B$5)+((Inputs!$C$69*SIN(($B87))-Inputs!$B$69*COS(($B87)))-Inputs!$B$6)*(F87-Inputs!$B$6))/G87)&lt;$B$16,$B$7/2,$B$8/2)-Inputs!$B$39),IF(OR(Inputs!$C$70=0,((((Inputs!$C$70*COS(($B87))+Inputs!$B$70*SIN(($B87)))-Inputs!$B$5)*(E87-Inputs!$B$5)+((Inputs!$C$70*SIN(($B87))-Inputs!$B$70*COS(($B87)))-Inputs!$B$6)*(F87-Inputs!$B$6))/G87)&lt;0,((((Inputs!$C$70*COS(($B87))+Inputs!$B$70*SIN(($B87)))-Inputs!$B$5)*(E87-Inputs!$B$5)+((Inputs!$C$70*SIN(($B87))-Inputs!$B$70*COS(($B87)))-Inputs!$B$6)*(F87-Inputs!$B$6))/G87)&gt;G87-Inputs!$B$40),999,(ABS((E87-Inputs!$B$5)*((Inputs!$C$70*SIN(($B87))-Inputs!$B$70*COS(($B87)))-Inputs!$B$6)-(F87-Inputs!$B$6)*((Inputs!$C$70*COS(($B87))+Inputs!$B$70*SIN(($B87)))-Inputs!$B$5))/G87)-IF(((((Inputs!$C$70*COS(($B87))+Inputs!$B$70*SIN(($B87)))-Inputs!$B$5)*(E87-Inputs!$B$5)+((Inputs!$C$70*SIN(($B87))-Inputs!$B$70*COS(($B87)))-Inputs!$B$6)*(F87-Inputs!$B$6))/G87)&lt;$B$16,$B$7/2,$B$8/2)-Inputs!$B$39),IF(OR(Inputs!$C$71=0,((((Inputs!$C$71*COS(($B87))+Inputs!$B$71*SIN(($B87)))-Inputs!$B$5)*(E87-Inputs!$B$5)+((Inputs!$C$71*SIN(($B87))-Inputs!$B$71*COS(($B87)))-Inputs!$B$6)*(F87-Inputs!$B$6))/G87)&lt;0,((((Inputs!$C$71*COS(($B87))+Inputs!$B$71*SIN(($B87)))-Inputs!$B$5)*(E87-Inputs!$B$5)+((Inputs!$C$71*SIN(($B87))-Inputs!$B$71*COS(($B87)))-Inputs!$B$6)*(F87-Inputs!$B$6))/G87)&gt;G87-Inputs!$B$40),999,(ABS((E87-Inputs!$B$5)*((Inputs!$C$71*SIN(($B87))-Inputs!$B$71*COS(($B87)))-Inputs!$B$6)-(F87-Inputs!$B$6)*((Inputs!$C$71*COS(($B87))+Inputs!$B$71*SIN(($B87)))-Inputs!$B$5))/G87)-IF(((((Inputs!$C$71*COS(($B87))+Inputs!$B$71*SIN(($B87)))-Inputs!$B$5)*(E87-Inputs!$B$5)+((Inputs!$C$71*SIN(($B87))-Inputs!$B$71*COS(($B87)))-Inputs!$B$6)*(F87-Inputs!$B$6))/G87)&lt;$B$16,$B$7/2,$B$8/2)-Inputs!$B$39),IF(OR(Inputs!$C$72=0,((((Inputs!$C$72*COS(($B87))+Inputs!$B$72*SIN(($B87)))-Inputs!$B$5)*(E87-Inputs!$B$5)+((Inputs!$C$72*SIN(($B87))-Inputs!$B$72*COS(($B87)))-Inputs!$B$6)*(F87-Inputs!$B$6))/G87)&lt;0,((((Inputs!$C$72*COS(($B87))+Inputs!$B$72*SIN(($B87)))-Inputs!$B$5)*(E87-Inputs!$B$5)+((Inputs!$C$72*SIN(($B87))-Inputs!$B$72*COS(($B87)))-Inputs!$B$6)*(F87-Inputs!$B$6))/G87)&gt;G87-Inputs!$B$40),999,(ABS((E87-Inputs!$B$5)*((Inputs!$C$72*SIN(($B87))-Inputs!$B$72*COS(($B87)))-Inputs!$B$6)-(F87-Inputs!$B$6)*((Inputs!$C$72*COS(($B87))+Inputs!$B$72*SIN(($B87)))-Inputs!$B$5))/G87)-IF(((((Inputs!$C$72*COS(($B87))+Inputs!$B$72*SIN(($B87)))-Inputs!$B$5)*(E87-Inputs!$B$5)+((Inputs!$C$72*SIN(($B87))-Inputs!$B$72*COS(($B87)))-Inputs!$B$6)*(F87-Inputs!$B$6))/G87)&lt;$B$16,$B$7/2,$B$8/2)-Inputs!$B$39))</f>
        <v>39.15898497</v>
      </c>
      <c r="J87" s="76">
        <f>IF(AND(G87&gt;=$B$14,G87&lt;=$B$15,H87&lt;=Inputs!$B$38,I87&gt;=0,$D87=1),1,0)</f>
        <v>0</v>
      </c>
      <c r="K87" s="29">
        <f>Inputs!$B$11*COS((-$B87))-Inputs!$B$7*SIN((-$B87))</f>
        <v>55.93207459</v>
      </c>
      <c r="L87" s="29">
        <f>Inputs!$B$11*SIN((-$B87))+Inputs!$B$7*COS((-$B87))</f>
        <v>-214.6154329</v>
      </c>
      <c r="M87" s="29">
        <f>SQRT((K87-Inputs!$B$5)^2+(L87-Inputs!$B$6)^2)</f>
        <v>369.6555563</v>
      </c>
      <c r="N87" s="29">
        <f>MAX(MAX(Inputs!$B$5,(Inputs!$B$5+(K87-Inputs!$B$5)*MIN(1,$B$16/M87)))+$B$7/2,MAX((Inputs!$B$5+(K87-Inputs!$B$5)*MIN(1,$B$16/M87)),K87)+Inputs!$B$41)</f>
        <v>291.8</v>
      </c>
      <c r="O87" s="29">
        <f>MIN(IF(OR(Inputs!$C$68=0,((((Inputs!$C$68*COS((-$B87))+Inputs!$B$68*SIN((-$B87)))-Inputs!$B$5)*(K87-Inputs!$B$5)+((Inputs!$C$68*SIN((-$B87))-Inputs!$B$68*COS((-$B87)))-Inputs!$B$6)*(L87-Inputs!$B$6))/M87)&lt;0,((((Inputs!$C$68*COS((-$B87))+Inputs!$B$68*SIN((-$B87)))-Inputs!$B$5)*(K87-Inputs!$B$5)+((Inputs!$C$68*SIN((-$B87))-Inputs!$B$68*COS((-$B87)))-Inputs!$B$6)*(L87-Inputs!$B$6))/M87)&gt;M87-Inputs!$B$40),999,(ABS((K87-Inputs!$B$5)*((Inputs!$C$68*SIN((-$B87))-Inputs!$B$68*COS((-$B87)))-Inputs!$B$6)-(L87-Inputs!$B$6)*((Inputs!$C$68*COS((-$B87))+Inputs!$B$68*SIN((-$B87)))-Inputs!$B$5))/M87)-IF(((((Inputs!$C$68*COS((-$B87))+Inputs!$B$68*SIN((-$B87)))-Inputs!$B$5)*(K87-Inputs!$B$5)+((Inputs!$C$68*SIN((-$B87))-Inputs!$B$68*COS((-$B87)))-Inputs!$B$6)*(L87-Inputs!$B$6))/M87)&lt;$B$16,$B$7/2,$B$8/2)-Inputs!$B$39),IF(OR(Inputs!$C$69=0,((((Inputs!$C$69*COS((-$B87))+Inputs!$B$69*SIN((-$B87)))-Inputs!$B$5)*(K87-Inputs!$B$5)+((Inputs!$C$69*SIN((-$B87))-Inputs!$B$69*COS((-$B87)))-Inputs!$B$6)*(L87-Inputs!$B$6))/M87)&lt;0,((((Inputs!$C$69*COS((-$B87))+Inputs!$B$69*SIN((-$B87)))-Inputs!$B$5)*(K87-Inputs!$B$5)+((Inputs!$C$69*SIN((-$B87))-Inputs!$B$69*COS((-$B87)))-Inputs!$B$6)*(L87-Inputs!$B$6))/M87)&gt;M87-Inputs!$B$40),999,(ABS((K87-Inputs!$B$5)*((Inputs!$C$69*SIN((-$B87))-Inputs!$B$69*COS((-$B87)))-Inputs!$B$6)-(L87-Inputs!$B$6)*((Inputs!$C$69*COS((-$B87))+Inputs!$B$69*SIN((-$B87)))-Inputs!$B$5))/M87)-IF(((((Inputs!$C$69*COS((-$B87))+Inputs!$B$69*SIN((-$B87)))-Inputs!$B$5)*(K87-Inputs!$B$5)+((Inputs!$C$69*SIN((-$B87))-Inputs!$B$69*COS((-$B87)))-Inputs!$B$6)*(L87-Inputs!$B$6))/M87)&lt;$B$16,$B$7/2,$B$8/2)-Inputs!$B$39),IF(OR(Inputs!$C$70=0,((((Inputs!$C$70*COS((-$B87))+Inputs!$B$70*SIN((-$B87)))-Inputs!$B$5)*(K87-Inputs!$B$5)+((Inputs!$C$70*SIN((-$B87))-Inputs!$B$70*COS((-$B87)))-Inputs!$B$6)*(L87-Inputs!$B$6))/M87)&lt;0,((((Inputs!$C$70*COS((-$B87))+Inputs!$B$70*SIN((-$B87)))-Inputs!$B$5)*(K87-Inputs!$B$5)+((Inputs!$C$70*SIN((-$B87))-Inputs!$B$70*COS((-$B87)))-Inputs!$B$6)*(L87-Inputs!$B$6))/M87)&gt;M87-Inputs!$B$40),999,(ABS((K87-Inputs!$B$5)*((Inputs!$C$70*SIN((-$B87))-Inputs!$B$70*COS((-$B87)))-Inputs!$B$6)-(L87-Inputs!$B$6)*((Inputs!$C$70*COS((-$B87))+Inputs!$B$70*SIN((-$B87)))-Inputs!$B$5))/M87)-IF(((((Inputs!$C$70*COS((-$B87))+Inputs!$B$70*SIN((-$B87)))-Inputs!$B$5)*(K87-Inputs!$B$5)+((Inputs!$C$70*SIN((-$B87))-Inputs!$B$70*COS((-$B87)))-Inputs!$B$6)*(L87-Inputs!$B$6))/M87)&lt;$B$16,$B$7/2,$B$8/2)-Inputs!$B$39),IF(OR(Inputs!$C$71=0,((((Inputs!$C$71*COS((-$B87))+Inputs!$B$71*SIN((-$B87)))-Inputs!$B$5)*(K87-Inputs!$B$5)+((Inputs!$C$71*SIN((-$B87))-Inputs!$B$71*COS((-$B87)))-Inputs!$B$6)*(L87-Inputs!$B$6))/M87)&lt;0,((((Inputs!$C$71*COS((-$B87))+Inputs!$B$71*SIN((-$B87)))-Inputs!$B$5)*(K87-Inputs!$B$5)+((Inputs!$C$71*SIN((-$B87))-Inputs!$B$71*COS((-$B87)))-Inputs!$B$6)*(L87-Inputs!$B$6))/M87)&gt;M87-Inputs!$B$40),999,(ABS((K87-Inputs!$B$5)*((Inputs!$C$71*SIN((-$B87))-Inputs!$B$71*COS((-$B87)))-Inputs!$B$6)-(L87-Inputs!$B$6)*((Inputs!$C$71*COS((-$B87))+Inputs!$B$71*SIN((-$B87)))-Inputs!$B$5))/M87)-IF(((((Inputs!$C$71*COS((-$B87))+Inputs!$B$71*SIN((-$B87)))-Inputs!$B$5)*(K87-Inputs!$B$5)+((Inputs!$C$71*SIN((-$B87))-Inputs!$B$71*COS((-$B87)))-Inputs!$B$6)*(L87-Inputs!$B$6))/M87)&lt;$B$16,$B$7/2,$B$8/2)-Inputs!$B$39),IF(OR(Inputs!$C$72=0,((((Inputs!$C$72*COS((-$B87))+Inputs!$B$72*SIN((-$B87)))-Inputs!$B$5)*(K87-Inputs!$B$5)+((Inputs!$C$72*SIN((-$B87))-Inputs!$B$72*COS((-$B87)))-Inputs!$B$6)*(L87-Inputs!$B$6))/M87)&lt;0,((((Inputs!$C$72*COS((-$B87))+Inputs!$B$72*SIN((-$B87)))-Inputs!$B$5)*(K87-Inputs!$B$5)+((Inputs!$C$72*SIN((-$B87))-Inputs!$B$72*COS((-$B87)))-Inputs!$B$6)*(L87-Inputs!$B$6))/M87)&gt;M87-Inputs!$B$40),999,(ABS((K87-Inputs!$B$5)*((Inputs!$C$72*SIN((-$B87))-Inputs!$B$72*COS((-$B87)))-Inputs!$B$6)-(L87-Inputs!$B$6)*((Inputs!$C$72*COS((-$B87))+Inputs!$B$72*SIN((-$B87)))-Inputs!$B$5))/M87)-IF(((((Inputs!$C$72*COS((-$B87))+Inputs!$B$72*SIN((-$B87)))-Inputs!$B$5)*(K87-Inputs!$B$5)+((Inputs!$C$72*SIN((-$B87))-Inputs!$B$72*COS((-$B87)))-Inputs!$B$6)*(L87-Inputs!$B$6))/M87)&lt;$B$16,$B$7/2,$B$8/2)-Inputs!$B$39))</f>
        <v>11.12075103</v>
      </c>
      <c r="P87" s="76">
        <f>IF(AND(M87&gt;=$B$14,M87&lt;=$B$15,N87&lt;=Inputs!$B$38,O87&gt;=0,$D87=1),1,0)</f>
        <v>1</v>
      </c>
    </row>
    <row r="88" ht="15.75" customHeight="1">
      <c r="A88" s="23">
        <v>11.25</v>
      </c>
      <c r="B88" s="40">
        <f t="shared" si="4"/>
        <v>0.1963495408</v>
      </c>
      <c r="C88" s="29">
        <f>MAX(Inputs!$C$68*COS($B88)+Inputs!$B$68*ABS(SIN($B88)),Inputs!$C$69*COS($B88)+Inputs!$B$69*ABS(SIN($B88)),Inputs!$C$70*COS($B88)+Inputs!$B$70*ABS(SIN($B88)),Inputs!$C$71*COS($B88)+Inputs!$B$71*ABS(SIN($B88)),Inputs!$C$72*COS($B88)+Inputs!$B$72*ABS(SIN($B88)))</f>
        <v>155.2602566</v>
      </c>
      <c r="D88" s="71">
        <f>IF(C88&lt;=Inputs!$B$38,1,0)</f>
        <v>1</v>
      </c>
      <c r="E88" s="29">
        <f>Inputs!$B$11*COS(($B88))-Inputs!$B$7*SIN(($B88))</f>
        <v>133.0312375</v>
      </c>
      <c r="F88" s="29">
        <f>Inputs!$B$11*SIN(($B88))+Inputs!$B$7*COS(($B88))</f>
        <v>-177.4566733</v>
      </c>
      <c r="G88" s="29">
        <f>SQRT((E88-Inputs!$B$5)^2+(F88-Inputs!$B$6)^2)</f>
        <v>301.1044619</v>
      </c>
      <c r="H88" s="29">
        <f>MAX(MAX(Inputs!$B$5,(Inputs!$B$5+(E88-Inputs!$B$5)*MIN(1,$B$16/G88)))+$B$7/2,MAX((Inputs!$B$5+(E88-Inputs!$B$5)*MIN(1,$B$16/G88)),E88)+Inputs!$B$41)</f>
        <v>291.8</v>
      </c>
      <c r="I88" s="29">
        <f>MIN(IF(OR(Inputs!$C$68=0,((((Inputs!$C$68*COS(($B88))+Inputs!$B$68*SIN(($B88)))-Inputs!$B$5)*(E88-Inputs!$B$5)+((Inputs!$C$68*SIN(($B88))-Inputs!$B$68*COS(($B88)))-Inputs!$B$6)*(F88-Inputs!$B$6))/G88)&lt;0,((((Inputs!$C$68*COS(($B88))+Inputs!$B$68*SIN(($B88)))-Inputs!$B$5)*(E88-Inputs!$B$5)+((Inputs!$C$68*SIN(($B88))-Inputs!$B$68*COS(($B88)))-Inputs!$B$6)*(F88-Inputs!$B$6))/G88)&gt;G88-Inputs!$B$40),999,(ABS((E88-Inputs!$B$5)*((Inputs!$C$68*SIN(($B88))-Inputs!$B$68*COS(($B88)))-Inputs!$B$6)-(F88-Inputs!$B$6)*((Inputs!$C$68*COS(($B88))+Inputs!$B$68*SIN(($B88)))-Inputs!$B$5))/G88)-IF(((((Inputs!$C$68*COS(($B88))+Inputs!$B$68*SIN(($B88)))-Inputs!$B$5)*(E88-Inputs!$B$5)+((Inputs!$C$68*SIN(($B88))-Inputs!$B$68*COS(($B88)))-Inputs!$B$6)*(F88-Inputs!$B$6))/G88)&lt;$B$16,$B$7/2,$B$8/2)-Inputs!$B$39),IF(OR(Inputs!$C$69=0,((((Inputs!$C$69*COS(($B88))+Inputs!$B$69*SIN(($B88)))-Inputs!$B$5)*(E88-Inputs!$B$5)+((Inputs!$C$69*SIN(($B88))-Inputs!$B$69*COS(($B88)))-Inputs!$B$6)*(F88-Inputs!$B$6))/G88)&lt;0,((((Inputs!$C$69*COS(($B88))+Inputs!$B$69*SIN(($B88)))-Inputs!$B$5)*(E88-Inputs!$B$5)+((Inputs!$C$69*SIN(($B88))-Inputs!$B$69*COS(($B88)))-Inputs!$B$6)*(F88-Inputs!$B$6))/G88)&gt;G88-Inputs!$B$40),999,(ABS((E88-Inputs!$B$5)*((Inputs!$C$69*SIN(($B88))-Inputs!$B$69*COS(($B88)))-Inputs!$B$6)-(F88-Inputs!$B$6)*((Inputs!$C$69*COS(($B88))+Inputs!$B$69*SIN(($B88)))-Inputs!$B$5))/G88)-IF(((((Inputs!$C$69*COS(($B88))+Inputs!$B$69*SIN(($B88)))-Inputs!$B$5)*(E88-Inputs!$B$5)+((Inputs!$C$69*SIN(($B88))-Inputs!$B$69*COS(($B88)))-Inputs!$B$6)*(F88-Inputs!$B$6))/G88)&lt;$B$16,$B$7/2,$B$8/2)-Inputs!$B$39),IF(OR(Inputs!$C$70=0,((((Inputs!$C$70*COS(($B88))+Inputs!$B$70*SIN(($B88)))-Inputs!$B$5)*(E88-Inputs!$B$5)+((Inputs!$C$70*SIN(($B88))-Inputs!$B$70*COS(($B88)))-Inputs!$B$6)*(F88-Inputs!$B$6))/G88)&lt;0,((((Inputs!$C$70*COS(($B88))+Inputs!$B$70*SIN(($B88)))-Inputs!$B$5)*(E88-Inputs!$B$5)+((Inputs!$C$70*SIN(($B88))-Inputs!$B$70*COS(($B88)))-Inputs!$B$6)*(F88-Inputs!$B$6))/G88)&gt;G88-Inputs!$B$40),999,(ABS((E88-Inputs!$B$5)*((Inputs!$C$70*SIN(($B88))-Inputs!$B$70*COS(($B88)))-Inputs!$B$6)-(F88-Inputs!$B$6)*((Inputs!$C$70*COS(($B88))+Inputs!$B$70*SIN(($B88)))-Inputs!$B$5))/G88)-IF(((((Inputs!$C$70*COS(($B88))+Inputs!$B$70*SIN(($B88)))-Inputs!$B$5)*(E88-Inputs!$B$5)+((Inputs!$C$70*SIN(($B88))-Inputs!$B$70*COS(($B88)))-Inputs!$B$6)*(F88-Inputs!$B$6))/G88)&lt;$B$16,$B$7/2,$B$8/2)-Inputs!$B$39),IF(OR(Inputs!$C$71=0,((((Inputs!$C$71*COS(($B88))+Inputs!$B$71*SIN(($B88)))-Inputs!$B$5)*(E88-Inputs!$B$5)+((Inputs!$C$71*SIN(($B88))-Inputs!$B$71*COS(($B88)))-Inputs!$B$6)*(F88-Inputs!$B$6))/G88)&lt;0,((((Inputs!$C$71*COS(($B88))+Inputs!$B$71*SIN(($B88)))-Inputs!$B$5)*(E88-Inputs!$B$5)+((Inputs!$C$71*SIN(($B88))-Inputs!$B$71*COS(($B88)))-Inputs!$B$6)*(F88-Inputs!$B$6))/G88)&gt;G88-Inputs!$B$40),999,(ABS((E88-Inputs!$B$5)*((Inputs!$C$71*SIN(($B88))-Inputs!$B$71*COS(($B88)))-Inputs!$B$6)-(F88-Inputs!$B$6)*((Inputs!$C$71*COS(($B88))+Inputs!$B$71*SIN(($B88)))-Inputs!$B$5))/G88)-IF(((((Inputs!$C$71*COS(($B88))+Inputs!$B$71*SIN(($B88)))-Inputs!$B$5)*(E88-Inputs!$B$5)+((Inputs!$C$71*SIN(($B88))-Inputs!$B$71*COS(($B88)))-Inputs!$B$6)*(F88-Inputs!$B$6))/G88)&lt;$B$16,$B$7/2,$B$8/2)-Inputs!$B$39),IF(OR(Inputs!$C$72=0,((((Inputs!$C$72*COS(($B88))+Inputs!$B$72*SIN(($B88)))-Inputs!$B$5)*(E88-Inputs!$B$5)+((Inputs!$C$72*SIN(($B88))-Inputs!$B$72*COS(($B88)))-Inputs!$B$6)*(F88-Inputs!$B$6))/G88)&lt;0,((((Inputs!$C$72*COS(($B88))+Inputs!$B$72*SIN(($B88)))-Inputs!$B$5)*(E88-Inputs!$B$5)+((Inputs!$C$72*SIN(($B88))-Inputs!$B$72*COS(($B88)))-Inputs!$B$6)*(F88-Inputs!$B$6))/G88)&gt;G88-Inputs!$B$40),999,(ABS((E88-Inputs!$B$5)*((Inputs!$C$72*SIN(($B88))-Inputs!$B$72*COS(($B88)))-Inputs!$B$6)-(F88-Inputs!$B$6)*((Inputs!$C$72*COS(($B88))+Inputs!$B$72*SIN(($B88)))-Inputs!$B$5))/G88)-IF(((((Inputs!$C$72*COS(($B88))+Inputs!$B$72*SIN(($B88)))-Inputs!$B$5)*(E88-Inputs!$B$5)+((Inputs!$C$72*SIN(($B88))-Inputs!$B$72*COS(($B88)))-Inputs!$B$6)*(F88-Inputs!$B$6))/G88)&lt;$B$16,$B$7/2,$B$8/2)-Inputs!$B$39))</f>
        <v>39.46634408</v>
      </c>
      <c r="J88" s="76">
        <f>IF(AND(G88&gt;=$B$14,G88&lt;=$B$15,H88&lt;=Inputs!$B$38,I88&gt;=0,$D88=1),1,0)</f>
        <v>0</v>
      </c>
      <c r="K88" s="29">
        <f>Inputs!$B$11*COS((-$B88))-Inputs!$B$7*SIN((-$B88))</f>
        <v>54.99510865</v>
      </c>
      <c r="L88" s="29">
        <f>Inputs!$B$11*SIN((-$B88))+Inputs!$B$7*COS((-$B88))</f>
        <v>-214.8574389</v>
      </c>
      <c r="M88" s="29">
        <f>SQRT((K88-Inputs!$B$5)^2+(L88-Inputs!$B$6)^2)</f>
        <v>370.3540394</v>
      </c>
      <c r="N88" s="29">
        <f>MAX(MAX(Inputs!$B$5,(Inputs!$B$5+(K88-Inputs!$B$5)*MIN(1,$B$16/M88)))+$B$7/2,MAX((Inputs!$B$5+(K88-Inputs!$B$5)*MIN(1,$B$16/M88)),K88)+Inputs!$B$41)</f>
        <v>291.8</v>
      </c>
      <c r="O88" s="29">
        <f>MIN(IF(OR(Inputs!$C$68=0,((((Inputs!$C$68*COS((-$B88))+Inputs!$B$68*SIN((-$B88)))-Inputs!$B$5)*(K88-Inputs!$B$5)+((Inputs!$C$68*SIN((-$B88))-Inputs!$B$68*COS((-$B88)))-Inputs!$B$6)*(L88-Inputs!$B$6))/M88)&lt;0,((((Inputs!$C$68*COS((-$B88))+Inputs!$B$68*SIN((-$B88)))-Inputs!$B$5)*(K88-Inputs!$B$5)+((Inputs!$C$68*SIN((-$B88))-Inputs!$B$68*COS((-$B88)))-Inputs!$B$6)*(L88-Inputs!$B$6))/M88)&gt;M88-Inputs!$B$40),999,(ABS((K88-Inputs!$B$5)*((Inputs!$C$68*SIN((-$B88))-Inputs!$B$68*COS((-$B88)))-Inputs!$B$6)-(L88-Inputs!$B$6)*((Inputs!$C$68*COS((-$B88))+Inputs!$B$68*SIN((-$B88)))-Inputs!$B$5))/M88)-IF(((((Inputs!$C$68*COS((-$B88))+Inputs!$B$68*SIN((-$B88)))-Inputs!$B$5)*(K88-Inputs!$B$5)+((Inputs!$C$68*SIN((-$B88))-Inputs!$B$68*COS((-$B88)))-Inputs!$B$6)*(L88-Inputs!$B$6))/M88)&lt;$B$16,$B$7/2,$B$8/2)-Inputs!$B$39),IF(OR(Inputs!$C$69=0,((((Inputs!$C$69*COS((-$B88))+Inputs!$B$69*SIN((-$B88)))-Inputs!$B$5)*(K88-Inputs!$B$5)+((Inputs!$C$69*SIN((-$B88))-Inputs!$B$69*COS((-$B88)))-Inputs!$B$6)*(L88-Inputs!$B$6))/M88)&lt;0,((((Inputs!$C$69*COS((-$B88))+Inputs!$B$69*SIN((-$B88)))-Inputs!$B$5)*(K88-Inputs!$B$5)+((Inputs!$C$69*SIN((-$B88))-Inputs!$B$69*COS((-$B88)))-Inputs!$B$6)*(L88-Inputs!$B$6))/M88)&gt;M88-Inputs!$B$40),999,(ABS((K88-Inputs!$B$5)*((Inputs!$C$69*SIN((-$B88))-Inputs!$B$69*COS((-$B88)))-Inputs!$B$6)-(L88-Inputs!$B$6)*((Inputs!$C$69*COS((-$B88))+Inputs!$B$69*SIN((-$B88)))-Inputs!$B$5))/M88)-IF(((((Inputs!$C$69*COS((-$B88))+Inputs!$B$69*SIN((-$B88)))-Inputs!$B$5)*(K88-Inputs!$B$5)+((Inputs!$C$69*SIN((-$B88))-Inputs!$B$69*COS((-$B88)))-Inputs!$B$6)*(L88-Inputs!$B$6))/M88)&lt;$B$16,$B$7/2,$B$8/2)-Inputs!$B$39),IF(OR(Inputs!$C$70=0,((((Inputs!$C$70*COS((-$B88))+Inputs!$B$70*SIN((-$B88)))-Inputs!$B$5)*(K88-Inputs!$B$5)+((Inputs!$C$70*SIN((-$B88))-Inputs!$B$70*COS((-$B88)))-Inputs!$B$6)*(L88-Inputs!$B$6))/M88)&lt;0,((((Inputs!$C$70*COS((-$B88))+Inputs!$B$70*SIN((-$B88)))-Inputs!$B$5)*(K88-Inputs!$B$5)+((Inputs!$C$70*SIN((-$B88))-Inputs!$B$70*COS((-$B88)))-Inputs!$B$6)*(L88-Inputs!$B$6))/M88)&gt;M88-Inputs!$B$40),999,(ABS((K88-Inputs!$B$5)*((Inputs!$C$70*SIN((-$B88))-Inputs!$B$70*COS((-$B88)))-Inputs!$B$6)-(L88-Inputs!$B$6)*((Inputs!$C$70*COS((-$B88))+Inputs!$B$70*SIN((-$B88)))-Inputs!$B$5))/M88)-IF(((((Inputs!$C$70*COS((-$B88))+Inputs!$B$70*SIN((-$B88)))-Inputs!$B$5)*(K88-Inputs!$B$5)+((Inputs!$C$70*SIN((-$B88))-Inputs!$B$70*COS((-$B88)))-Inputs!$B$6)*(L88-Inputs!$B$6))/M88)&lt;$B$16,$B$7/2,$B$8/2)-Inputs!$B$39),IF(OR(Inputs!$C$71=0,((((Inputs!$C$71*COS((-$B88))+Inputs!$B$71*SIN((-$B88)))-Inputs!$B$5)*(K88-Inputs!$B$5)+((Inputs!$C$71*SIN((-$B88))-Inputs!$B$71*COS((-$B88)))-Inputs!$B$6)*(L88-Inputs!$B$6))/M88)&lt;0,((((Inputs!$C$71*COS((-$B88))+Inputs!$B$71*SIN((-$B88)))-Inputs!$B$5)*(K88-Inputs!$B$5)+((Inputs!$C$71*SIN((-$B88))-Inputs!$B$71*COS((-$B88)))-Inputs!$B$6)*(L88-Inputs!$B$6))/M88)&gt;M88-Inputs!$B$40),999,(ABS((K88-Inputs!$B$5)*((Inputs!$C$71*SIN((-$B88))-Inputs!$B$71*COS((-$B88)))-Inputs!$B$6)-(L88-Inputs!$B$6)*((Inputs!$C$71*COS((-$B88))+Inputs!$B$71*SIN((-$B88)))-Inputs!$B$5))/M88)-IF(((((Inputs!$C$71*COS((-$B88))+Inputs!$B$71*SIN((-$B88)))-Inputs!$B$5)*(K88-Inputs!$B$5)+((Inputs!$C$71*SIN((-$B88))-Inputs!$B$71*COS((-$B88)))-Inputs!$B$6)*(L88-Inputs!$B$6))/M88)&lt;$B$16,$B$7/2,$B$8/2)-Inputs!$B$39),IF(OR(Inputs!$C$72=0,((((Inputs!$C$72*COS((-$B88))+Inputs!$B$72*SIN((-$B88)))-Inputs!$B$5)*(K88-Inputs!$B$5)+((Inputs!$C$72*SIN((-$B88))-Inputs!$B$72*COS((-$B88)))-Inputs!$B$6)*(L88-Inputs!$B$6))/M88)&lt;0,((((Inputs!$C$72*COS((-$B88))+Inputs!$B$72*SIN((-$B88)))-Inputs!$B$5)*(K88-Inputs!$B$5)+((Inputs!$C$72*SIN((-$B88))-Inputs!$B$72*COS((-$B88)))-Inputs!$B$6)*(L88-Inputs!$B$6))/M88)&gt;M88-Inputs!$B$40),999,(ABS((K88-Inputs!$B$5)*((Inputs!$C$72*SIN((-$B88))-Inputs!$B$72*COS((-$B88)))-Inputs!$B$6)-(L88-Inputs!$B$6)*((Inputs!$C$72*COS((-$B88))+Inputs!$B$72*SIN((-$B88)))-Inputs!$B$5))/M88)-IF(((((Inputs!$C$72*COS((-$B88))+Inputs!$B$72*SIN((-$B88)))-Inputs!$B$5)*(K88-Inputs!$B$5)+((Inputs!$C$72*SIN((-$B88))-Inputs!$B$72*COS((-$B88)))-Inputs!$B$6)*(L88-Inputs!$B$6))/M88)&lt;$B$16,$B$7/2,$B$8/2)-Inputs!$B$39))</f>
        <v>10.79239964</v>
      </c>
      <c r="P88" s="76">
        <f>IF(AND(M88&gt;=$B$14,M88&lt;=$B$15,N88&lt;=Inputs!$B$38,O88&gt;=0,$D88=1),1,0)</f>
        <v>1</v>
      </c>
    </row>
    <row r="89" ht="15.75" customHeight="1">
      <c r="A89" s="23">
        <v>11.5</v>
      </c>
      <c r="B89" s="40">
        <f t="shared" si="4"/>
        <v>0.200712864</v>
      </c>
      <c r="C89" s="29">
        <f>MAX(Inputs!$C$68*COS($B89)+Inputs!$B$68*ABS(SIN($B89)),Inputs!$C$69*COS($B89)+Inputs!$B$69*ABS(SIN($B89)),Inputs!$C$70*COS($B89)+Inputs!$B$70*ABS(SIN($B89)),Inputs!$C$71*COS($B89)+Inputs!$B$71*ABS(SIN($B89)),Inputs!$C$72*COS($B89)+Inputs!$B$72*ABS(SIN($B89)))</f>
        <v>156.897661</v>
      </c>
      <c r="D89" s="108">
        <f>IF(C89&lt;=Inputs!$B$38,1,0)</f>
        <v>1</v>
      </c>
      <c r="E89" s="29">
        <f>Inputs!$B$11*COS(($B89))-Inputs!$B$7*SIN(($B89))</f>
        <v>133.8042694</v>
      </c>
      <c r="F89" s="29">
        <f>Inputs!$B$11*SIN(($B89))+Inputs!$B$7*COS(($B89))</f>
        <v>-176.8745276</v>
      </c>
      <c r="G89" s="29">
        <f>SQRT((E89-Inputs!$B$5)^2+(F89-Inputs!$B$6)^2)</f>
        <v>300.2681332</v>
      </c>
      <c r="H89" s="29">
        <f>MAX(MAX(Inputs!$B$5,(Inputs!$B$5+(E89-Inputs!$B$5)*MIN(1,$B$16/G89)))+$B$7/2,MAX((Inputs!$B$5+(E89-Inputs!$B$5)*MIN(1,$B$16/G89)),E89)+Inputs!$B$41)</f>
        <v>291.8</v>
      </c>
      <c r="I89" s="29">
        <f>MIN(IF(OR(Inputs!$C$68=0,((((Inputs!$C$68*COS(($B89))+Inputs!$B$68*SIN(($B89)))-Inputs!$B$5)*(E89-Inputs!$B$5)+((Inputs!$C$68*SIN(($B89))-Inputs!$B$68*COS(($B89)))-Inputs!$B$6)*(F89-Inputs!$B$6))/G89)&lt;0,((((Inputs!$C$68*COS(($B89))+Inputs!$B$68*SIN(($B89)))-Inputs!$B$5)*(E89-Inputs!$B$5)+((Inputs!$C$68*SIN(($B89))-Inputs!$B$68*COS(($B89)))-Inputs!$B$6)*(F89-Inputs!$B$6))/G89)&gt;G89-Inputs!$B$40),999,(ABS((E89-Inputs!$B$5)*((Inputs!$C$68*SIN(($B89))-Inputs!$B$68*COS(($B89)))-Inputs!$B$6)-(F89-Inputs!$B$6)*((Inputs!$C$68*COS(($B89))+Inputs!$B$68*SIN(($B89)))-Inputs!$B$5))/G89)-IF(((((Inputs!$C$68*COS(($B89))+Inputs!$B$68*SIN(($B89)))-Inputs!$B$5)*(E89-Inputs!$B$5)+((Inputs!$C$68*SIN(($B89))-Inputs!$B$68*COS(($B89)))-Inputs!$B$6)*(F89-Inputs!$B$6))/G89)&lt;$B$16,$B$7/2,$B$8/2)-Inputs!$B$39),IF(OR(Inputs!$C$69=0,((((Inputs!$C$69*COS(($B89))+Inputs!$B$69*SIN(($B89)))-Inputs!$B$5)*(E89-Inputs!$B$5)+((Inputs!$C$69*SIN(($B89))-Inputs!$B$69*COS(($B89)))-Inputs!$B$6)*(F89-Inputs!$B$6))/G89)&lt;0,((((Inputs!$C$69*COS(($B89))+Inputs!$B$69*SIN(($B89)))-Inputs!$B$5)*(E89-Inputs!$B$5)+((Inputs!$C$69*SIN(($B89))-Inputs!$B$69*COS(($B89)))-Inputs!$B$6)*(F89-Inputs!$B$6))/G89)&gt;G89-Inputs!$B$40),999,(ABS((E89-Inputs!$B$5)*((Inputs!$C$69*SIN(($B89))-Inputs!$B$69*COS(($B89)))-Inputs!$B$6)-(F89-Inputs!$B$6)*((Inputs!$C$69*COS(($B89))+Inputs!$B$69*SIN(($B89)))-Inputs!$B$5))/G89)-IF(((((Inputs!$C$69*COS(($B89))+Inputs!$B$69*SIN(($B89)))-Inputs!$B$5)*(E89-Inputs!$B$5)+((Inputs!$C$69*SIN(($B89))-Inputs!$B$69*COS(($B89)))-Inputs!$B$6)*(F89-Inputs!$B$6))/G89)&lt;$B$16,$B$7/2,$B$8/2)-Inputs!$B$39),IF(OR(Inputs!$C$70=0,((((Inputs!$C$70*COS(($B89))+Inputs!$B$70*SIN(($B89)))-Inputs!$B$5)*(E89-Inputs!$B$5)+((Inputs!$C$70*SIN(($B89))-Inputs!$B$70*COS(($B89)))-Inputs!$B$6)*(F89-Inputs!$B$6))/G89)&lt;0,((((Inputs!$C$70*COS(($B89))+Inputs!$B$70*SIN(($B89)))-Inputs!$B$5)*(E89-Inputs!$B$5)+((Inputs!$C$70*SIN(($B89))-Inputs!$B$70*COS(($B89)))-Inputs!$B$6)*(F89-Inputs!$B$6))/G89)&gt;G89-Inputs!$B$40),999,(ABS((E89-Inputs!$B$5)*((Inputs!$C$70*SIN(($B89))-Inputs!$B$70*COS(($B89)))-Inputs!$B$6)-(F89-Inputs!$B$6)*((Inputs!$C$70*COS(($B89))+Inputs!$B$70*SIN(($B89)))-Inputs!$B$5))/G89)-IF(((((Inputs!$C$70*COS(($B89))+Inputs!$B$70*SIN(($B89)))-Inputs!$B$5)*(E89-Inputs!$B$5)+((Inputs!$C$70*SIN(($B89))-Inputs!$B$70*COS(($B89)))-Inputs!$B$6)*(F89-Inputs!$B$6))/G89)&lt;$B$16,$B$7/2,$B$8/2)-Inputs!$B$39),IF(OR(Inputs!$C$71=0,((((Inputs!$C$71*COS(($B89))+Inputs!$B$71*SIN(($B89)))-Inputs!$B$5)*(E89-Inputs!$B$5)+((Inputs!$C$71*SIN(($B89))-Inputs!$B$71*COS(($B89)))-Inputs!$B$6)*(F89-Inputs!$B$6))/G89)&lt;0,((((Inputs!$C$71*COS(($B89))+Inputs!$B$71*SIN(($B89)))-Inputs!$B$5)*(E89-Inputs!$B$5)+((Inputs!$C$71*SIN(($B89))-Inputs!$B$71*COS(($B89)))-Inputs!$B$6)*(F89-Inputs!$B$6))/G89)&gt;G89-Inputs!$B$40),999,(ABS((E89-Inputs!$B$5)*((Inputs!$C$71*SIN(($B89))-Inputs!$B$71*COS(($B89)))-Inputs!$B$6)-(F89-Inputs!$B$6)*((Inputs!$C$71*COS(($B89))+Inputs!$B$71*SIN(($B89)))-Inputs!$B$5))/G89)-IF(((((Inputs!$C$71*COS(($B89))+Inputs!$B$71*SIN(($B89)))-Inputs!$B$5)*(E89-Inputs!$B$5)+((Inputs!$C$71*SIN(($B89))-Inputs!$B$71*COS(($B89)))-Inputs!$B$6)*(F89-Inputs!$B$6))/G89)&lt;$B$16,$B$7/2,$B$8/2)-Inputs!$B$39),IF(OR(Inputs!$C$72=0,((((Inputs!$C$72*COS(($B89))+Inputs!$B$72*SIN(($B89)))-Inputs!$B$5)*(E89-Inputs!$B$5)+((Inputs!$C$72*SIN(($B89))-Inputs!$B$72*COS(($B89)))-Inputs!$B$6)*(F89-Inputs!$B$6))/G89)&lt;0,((((Inputs!$C$72*COS(($B89))+Inputs!$B$72*SIN(($B89)))-Inputs!$B$5)*(E89-Inputs!$B$5)+((Inputs!$C$72*SIN(($B89))-Inputs!$B$72*COS(($B89)))-Inputs!$B$6)*(F89-Inputs!$B$6))/G89)&gt;G89-Inputs!$B$40),999,(ABS((E89-Inputs!$B$5)*((Inputs!$C$72*SIN(($B89))-Inputs!$B$72*COS(($B89)))-Inputs!$B$6)-(F89-Inputs!$B$6)*((Inputs!$C$72*COS(($B89))+Inputs!$B$72*SIN(($B89)))-Inputs!$B$5))/G89)-IF(((((Inputs!$C$72*COS(($B89))+Inputs!$B$72*SIN(($B89)))-Inputs!$B$5)*(E89-Inputs!$B$5)+((Inputs!$C$72*SIN(($B89))-Inputs!$B$72*COS(($B89)))-Inputs!$B$6)*(F89-Inputs!$B$6))/G89)&lt;$B$16,$B$7/2,$B$8/2)-Inputs!$B$39))</f>
        <v>39.77341813</v>
      </c>
      <c r="J89" s="76">
        <f>IF(AND(G89&gt;=$B$14,G89&lt;=$B$15,H89&lt;=Inputs!$B$38,I89&gt;=0,$D89=1),1,0)</f>
        <v>0</v>
      </c>
      <c r="K89" s="29">
        <f>Inputs!$B$11*COS((-$B89))-Inputs!$B$7*SIN((-$B89))</f>
        <v>54.05709568</v>
      </c>
      <c r="L89" s="29">
        <f>Inputs!$B$11*SIN((-$B89))+Inputs!$B$7*COS((-$B89))</f>
        <v>-215.0953543</v>
      </c>
      <c r="M89" s="29">
        <f>SQRT((K89-Inputs!$B$5)^2+(L89-Inputs!$B$6)^2)</f>
        <v>371.0508106</v>
      </c>
      <c r="N89" s="29">
        <f>MAX(MAX(Inputs!$B$5,(Inputs!$B$5+(K89-Inputs!$B$5)*MIN(1,$B$16/M89)))+$B$7/2,MAX((Inputs!$B$5+(K89-Inputs!$B$5)*MIN(1,$B$16/M89)),K89)+Inputs!$B$41)</f>
        <v>291.8</v>
      </c>
      <c r="O89" s="29">
        <f>MIN(IF(OR(Inputs!$C$68=0,((((Inputs!$C$68*COS((-$B89))+Inputs!$B$68*SIN((-$B89)))-Inputs!$B$5)*(K89-Inputs!$B$5)+((Inputs!$C$68*SIN((-$B89))-Inputs!$B$68*COS((-$B89)))-Inputs!$B$6)*(L89-Inputs!$B$6))/M89)&lt;0,((((Inputs!$C$68*COS((-$B89))+Inputs!$B$68*SIN((-$B89)))-Inputs!$B$5)*(K89-Inputs!$B$5)+((Inputs!$C$68*SIN((-$B89))-Inputs!$B$68*COS((-$B89)))-Inputs!$B$6)*(L89-Inputs!$B$6))/M89)&gt;M89-Inputs!$B$40),999,(ABS((K89-Inputs!$B$5)*((Inputs!$C$68*SIN((-$B89))-Inputs!$B$68*COS((-$B89)))-Inputs!$B$6)-(L89-Inputs!$B$6)*((Inputs!$C$68*COS((-$B89))+Inputs!$B$68*SIN((-$B89)))-Inputs!$B$5))/M89)-IF(((((Inputs!$C$68*COS((-$B89))+Inputs!$B$68*SIN((-$B89)))-Inputs!$B$5)*(K89-Inputs!$B$5)+((Inputs!$C$68*SIN((-$B89))-Inputs!$B$68*COS((-$B89)))-Inputs!$B$6)*(L89-Inputs!$B$6))/M89)&lt;$B$16,$B$7/2,$B$8/2)-Inputs!$B$39),IF(OR(Inputs!$C$69=0,((((Inputs!$C$69*COS((-$B89))+Inputs!$B$69*SIN((-$B89)))-Inputs!$B$5)*(K89-Inputs!$B$5)+((Inputs!$C$69*SIN((-$B89))-Inputs!$B$69*COS((-$B89)))-Inputs!$B$6)*(L89-Inputs!$B$6))/M89)&lt;0,((((Inputs!$C$69*COS((-$B89))+Inputs!$B$69*SIN((-$B89)))-Inputs!$B$5)*(K89-Inputs!$B$5)+((Inputs!$C$69*SIN((-$B89))-Inputs!$B$69*COS((-$B89)))-Inputs!$B$6)*(L89-Inputs!$B$6))/M89)&gt;M89-Inputs!$B$40),999,(ABS((K89-Inputs!$B$5)*((Inputs!$C$69*SIN((-$B89))-Inputs!$B$69*COS((-$B89)))-Inputs!$B$6)-(L89-Inputs!$B$6)*((Inputs!$C$69*COS((-$B89))+Inputs!$B$69*SIN((-$B89)))-Inputs!$B$5))/M89)-IF(((((Inputs!$C$69*COS((-$B89))+Inputs!$B$69*SIN((-$B89)))-Inputs!$B$5)*(K89-Inputs!$B$5)+((Inputs!$C$69*SIN((-$B89))-Inputs!$B$69*COS((-$B89)))-Inputs!$B$6)*(L89-Inputs!$B$6))/M89)&lt;$B$16,$B$7/2,$B$8/2)-Inputs!$B$39),IF(OR(Inputs!$C$70=0,((((Inputs!$C$70*COS((-$B89))+Inputs!$B$70*SIN((-$B89)))-Inputs!$B$5)*(K89-Inputs!$B$5)+((Inputs!$C$70*SIN((-$B89))-Inputs!$B$70*COS((-$B89)))-Inputs!$B$6)*(L89-Inputs!$B$6))/M89)&lt;0,((((Inputs!$C$70*COS((-$B89))+Inputs!$B$70*SIN((-$B89)))-Inputs!$B$5)*(K89-Inputs!$B$5)+((Inputs!$C$70*SIN((-$B89))-Inputs!$B$70*COS((-$B89)))-Inputs!$B$6)*(L89-Inputs!$B$6))/M89)&gt;M89-Inputs!$B$40),999,(ABS((K89-Inputs!$B$5)*((Inputs!$C$70*SIN((-$B89))-Inputs!$B$70*COS((-$B89)))-Inputs!$B$6)-(L89-Inputs!$B$6)*((Inputs!$C$70*COS((-$B89))+Inputs!$B$70*SIN((-$B89)))-Inputs!$B$5))/M89)-IF(((((Inputs!$C$70*COS((-$B89))+Inputs!$B$70*SIN((-$B89)))-Inputs!$B$5)*(K89-Inputs!$B$5)+((Inputs!$C$70*SIN((-$B89))-Inputs!$B$70*COS((-$B89)))-Inputs!$B$6)*(L89-Inputs!$B$6))/M89)&lt;$B$16,$B$7/2,$B$8/2)-Inputs!$B$39),IF(OR(Inputs!$C$71=0,((((Inputs!$C$71*COS((-$B89))+Inputs!$B$71*SIN((-$B89)))-Inputs!$B$5)*(K89-Inputs!$B$5)+((Inputs!$C$71*SIN((-$B89))-Inputs!$B$71*COS((-$B89)))-Inputs!$B$6)*(L89-Inputs!$B$6))/M89)&lt;0,((((Inputs!$C$71*COS((-$B89))+Inputs!$B$71*SIN((-$B89)))-Inputs!$B$5)*(K89-Inputs!$B$5)+((Inputs!$C$71*SIN((-$B89))-Inputs!$B$71*COS((-$B89)))-Inputs!$B$6)*(L89-Inputs!$B$6))/M89)&gt;M89-Inputs!$B$40),999,(ABS((K89-Inputs!$B$5)*((Inputs!$C$71*SIN((-$B89))-Inputs!$B$71*COS((-$B89)))-Inputs!$B$6)-(L89-Inputs!$B$6)*((Inputs!$C$71*COS((-$B89))+Inputs!$B$71*SIN((-$B89)))-Inputs!$B$5))/M89)-IF(((((Inputs!$C$71*COS((-$B89))+Inputs!$B$71*SIN((-$B89)))-Inputs!$B$5)*(K89-Inputs!$B$5)+((Inputs!$C$71*SIN((-$B89))-Inputs!$B$71*COS((-$B89)))-Inputs!$B$6)*(L89-Inputs!$B$6))/M89)&lt;$B$16,$B$7/2,$B$8/2)-Inputs!$B$39),IF(OR(Inputs!$C$72=0,((((Inputs!$C$72*COS((-$B89))+Inputs!$B$72*SIN((-$B89)))-Inputs!$B$5)*(K89-Inputs!$B$5)+((Inputs!$C$72*SIN((-$B89))-Inputs!$B$72*COS((-$B89)))-Inputs!$B$6)*(L89-Inputs!$B$6))/M89)&lt;0,((((Inputs!$C$72*COS((-$B89))+Inputs!$B$72*SIN((-$B89)))-Inputs!$B$5)*(K89-Inputs!$B$5)+((Inputs!$C$72*SIN((-$B89))-Inputs!$B$72*COS((-$B89)))-Inputs!$B$6)*(L89-Inputs!$B$6))/M89)&gt;M89-Inputs!$B$40),999,(ABS((K89-Inputs!$B$5)*((Inputs!$C$72*SIN((-$B89))-Inputs!$B$72*COS((-$B89)))-Inputs!$B$6)-(L89-Inputs!$B$6)*((Inputs!$C$72*COS((-$B89))+Inputs!$B$72*SIN((-$B89)))-Inputs!$B$5))/M89)-IF(((((Inputs!$C$72*COS((-$B89))+Inputs!$B$72*SIN((-$B89)))-Inputs!$B$5)*(K89-Inputs!$B$5)+((Inputs!$C$72*SIN((-$B89))-Inputs!$B$72*COS((-$B89)))-Inputs!$B$6)*(L89-Inputs!$B$6))/M89)&lt;$B$16,$B$7/2,$B$8/2)-Inputs!$B$39))</f>
        <v>10.46386582</v>
      </c>
      <c r="P89" s="76">
        <f>IF(AND(M89&gt;=$B$14,M89&lt;=$B$15,N89&lt;=Inputs!$B$38,O89&gt;=0,$D89=1),1,0)</f>
        <v>1</v>
      </c>
    </row>
    <row r="90" ht="15.75" customHeight="1">
      <c r="A90" s="23">
        <v>11.75</v>
      </c>
      <c r="B90" s="40">
        <f t="shared" si="4"/>
        <v>0.2050761871</v>
      </c>
      <c r="C90" s="29">
        <f>MAX(Inputs!$C$68*COS($B90)+Inputs!$B$68*ABS(SIN($B90)),Inputs!$C$69*COS($B90)+Inputs!$B$69*ABS(SIN($B90)),Inputs!$C$70*COS($B90)+Inputs!$B$70*ABS(SIN($B90)),Inputs!$C$71*COS($B90)+Inputs!$B$71*ABS(SIN($B90)),Inputs!$C$72*COS($B90)+Inputs!$B$72*ABS(SIN($B90)))</f>
        <v>158.5320784</v>
      </c>
      <c r="D90" s="108">
        <f>IF(C90&lt;=Inputs!$B$38,1,0)</f>
        <v>1</v>
      </c>
      <c r="E90" s="29">
        <f>Inputs!$B$11*COS(($B90))-Inputs!$B$7*SIN(($B90))</f>
        <v>134.574754</v>
      </c>
      <c r="F90" s="29">
        <f>Inputs!$B$11*SIN(($B90))+Inputs!$B$7*COS(($B90))</f>
        <v>-176.2890144</v>
      </c>
      <c r="G90" s="29">
        <f>SQRT((E90-Inputs!$B$5)^2+(F90-Inputs!$B$6)^2)</f>
        <v>299.4304709</v>
      </c>
      <c r="H90" s="29">
        <f>MAX(MAX(Inputs!$B$5,(Inputs!$B$5+(E90-Inputs!$B$5)*MIN(1,$B$16/G90)))+$B$7/2,MAX((Inputs!$B$5+(E90-Inputs!$B$5)*MIN(1,$B$16/G90)),E90)+Inputs!$B$41)</f>
        <v>291.8</v>
      </c>
      <c r="I90" s="29">
        <f>MIN(IF(OR(Inputs!$C$68=0,((((Inputs!$C$68*COS(($B90))+Inputs!$B$68*SIN(($B90)))-Inputs!$B$5)*(E90-Inputs!$B$5)+((Inputs!$C$68*SIN(($B90))-Inputs!$B$68*COS(($B90)))-Inputs!$B$6)*(F90-Inputs!$B$6))/G90)&lt;0,((((Inputs!$C$68*COS(($B90))+Inputs!$B$68*SIN(($B90)))-Inputs!$B$5)*(E90-Inputs!$B$5)+((Inputs!$C$68*SIN(($B90))-Inputs!$B$68*COS(($B90)))-Inputs!$B$6)*(F90-Inputs!$B$6))/G90)&gt;G90-Inputs!$B$40),999,(ABS((E90-Inputs!$B$5)*((Inputs!$C$68*SIN(($B90))-Inputs!$B$68*COS(($B90)))-Inputs!$B$6)-(F90-Inputs!$B$6)*((Inputs!$C$68*COS(($B90))+Inputs!$B$68*SIN(($B90)))-Inputs!$B$5))/G90)-IF(((((Inputs!$C$68*COS(($B90))+Inputs!$B$68*SIN(($B90)))-Inputs!$B$5)*(E90-Inputs!$B$5)+((Inputs!$C$68*SIN(($B90))-Inputs!$B$68*COS(($B90)))-Inputs!$B$6)*(F90-Inputs!$B$6))/G90)&lt;$B$16,$B$7/2,$B$8/2)-Inputs!$B$39),IF(OR(Inputs!$C$69=0,((((Inputs!$C$69*COS(($B90))+Inputs!$B$69*SIN(($B90)))-Inputs!$B$5)*(E90-Inputs!$B$5)+((Inputs!$C$69*SIN(($B90))-Inputs!$B$69*COS(($B90)))-Inputs!$B$6)*(F90-Inputs!$B$6))/G90)&lt;0,((((Inputs!$C$69*COS(($B90))+Inputs!$B$69*SIN(($B90)))-Inputs!$B$5)*(E90-Inputs!$B$5)+((Inputs!$C$69*SIN(($B90))-Inputs!$B$69*COS(($B90)))-Inputs!$B$6)*(F90-Inputs!$B$6))/G90)&gt;G90-Inputs!$B$40),999,(ABS((E90-Inputs!$B$5)*((Inputs!$C$69*SIN(($B90))-Inputs!$B$69*COS(($B90)))-Inputs!$B$6)-(F90-Inputs!$B$6)*((Inputs!$C$69*COS(($B90))+Inputs!$B$69*SIN(($B90)))-Inputs!$B$5))/G90)-IF(((((Inputs!$C$69*COS(($B90))+Inputs!$B$69*SIN(($B90)))-Inputs!$B$5)*(E90-Inputs!$B$5)+((Inputs!$C$69*SIN(($B90))-Inputs!$B$69*COS(($B90)))-Inputs!$B$6)*(F90-Inputs!$B$6))/G90)&lt;$B$16,$B$7/2,$B$8/2)-Inputs!$B$39),IF(OR(Inputs!$C$70=0,((((Inputs!$C$70*COS(($B90))+Inputs!$B$70*SIN(($B90)))-Inputs!$B$5)*(E90-Inputs!$B$5)+((Inputs!$C$70*SIN(($B90))-Inputs!$B$70*COS(($B90)))-Inputs!$B$6)*(F90-Inputs!$B$6))/G90)&lt;0,((((Inputs!$C$70*COS(($B90))+Inputs!$B$70*SIN(($B90)))-Inputs!$B$5)*(E90-Inputs!$B$5)+((Inputs!$C$70*SIN(($B90))-Inputs!$B$70*COS(($B90)))-Inputs!$B$6)*(F90-Inputs!$B$6))/G90)&gt;G90-Inputs!$B$40),999,(ABS((E90-Inputs!$B$5)*((Inputs!$C$70*SIN(($B90))-Inputs!$B$70*COS(($B90)))-Inputs!$B$6)-(F90-Inputs!$B$6)*((Inputs!$C$70*COS(($B90))+Inputs!$B$70*SIN(($B90)))-Inputs!$B$5))/G90)-IF(((((Inputs!$C$70*COS(($B90))+Inputs!$B$70*SIN(($B90)))-Inputs!$B$5)*(E90-Inputs!$B$5)+((Inputs!$C$70*SIN(($B90))-Inputs!$B$70*COS(($B90)))-Inputs!$B$6)*(F90-Inputs!$B$6))/G90)&lt;$B$16,$B$7/2,$B$8/2)-Inputs!$B$39),IF(OR(Inputs!$C$71=0,((((Inputs!$C$71*COS(($B90))+Inputs!$B$71*SIN(($B90)))-Inputs!$B$5)*(E90-Inputs!$B$5)+((Inputs!$C$71*SIN(($B90))-Inputs!$B$71*COS(($B90)))-Inputs!$B$6)*(F90-Inputs!$B$6))/G90)&lt;0,((((Inputs!$C$71*COS(($B90))+Inputs!$B$71*SIN(($B90)))-Inputs!$B$5)*(E90-Inputs!$B$5)+((Inputs!$C$71*SIN(($B90))-Inputs!$B$71*COS(($B90)))-Inputs!$B$6)*(F90-Inputs!$B$6))/G90)&gt;G90-Inputs!$B$40),999,(ABS((E90-Inputs!$B$5)*((Inputs!$C$71*SIN(($B90))-Inputs!$B$71*COS(($B90)))-Inputs!$B$6)-(F90-Inputs!$B$6)*((Inputs!$C$71*COS(($B90))+Inputs!$B$71*SIN(($B90)))-Inputs!$B$5))/G90)-IF(((((Inputs!$C$71*COS(($B90))+Inputs!$B$71*SIN(($B90)))-Inputs!$B$5)*(E90-Inputs!$B$5)+((Inputs!$C$71*SIN(($B90))-Inputs!$B$71*COS(($B90)))-Inputs!$B$6)*(F90-Inputs!$B$6))/G90)&lt;$B$16,$B$7/2,$B$8/2)-Inputs!$B$39),IF(OR(Inputs!$C$72=0,((((Inputs!$C$72*COS(($B90))+Inputs!$B$72*SIN(($B90)))-Inputs!$B$5)*(E90-Inputs!$B$5)+((Inputs!$C$72*SIN(($B90))-Inputs!$B$72*COS(($B90)))-Inputs!$B$6)*(F90-Inputs!$B$6))/G90)&lt;0,((((Inputs!$C$72*COS(($B90))+Inputs!$B$72*SIN(($B90)))-Inputs!$B$5)*(E90-Inputs!$B$5)+((Inputs!$C$72*SIN(($B90))-Inputs!$B$72*COS(($B90)))-Inputs!$B$6)*(F90-Inputs!$B$6))/G90)&gt;G90-Inputs!$B$40),999,(ABS((E90-Inputs!$B$5)*((Inputs!$C$72*SIN(($B90))-Inputs!$B$72*COS(($B90)))-Inputs!$B$6)-(F90-Inputs!$B$6)*((Inputs!$C$72*COS(($B90))+Inputs!$B$72*SIN(($B90)))-Inputs!$B$5))/G90)-IF(((((Inputs!$C$72*COS(($B90))+Inputs!$B$72*SIN(($B90)))-Inputs!$B$5)*(E90-Inputs!$B$5)+((Inputs!$C$72*SIN(($B90))-Inputs!$B$72*COS(($B90)))-Inputs!$B$6)*(F90-Inputs!$B$6))/G90)&lt;$B$16,$B$7/2,$B$8/2)-Inputs!$B$39))</f>
        <v>40.0802061</v>
      </c>
      <c r="J90" s="76">
        <f>IF(AND(G90&gt;=$B$14,G90&lt;=$B$15,H90&lt;=Inputs!$B$38,I90&gt;=0,$D90=1),1,0)</f>
        <v>0</v>
      </c>
      <c r="K90" s="29">
        <f>Inputs!$B$11*COS((-$B90))-Inputs!$B$7*SIN((-$B90))</f>
        <v>53.11805354</v>
      </c>
      <c r="L90" s="29">
        <f>Inputs!$B$11*SIN((-$B90))+Inputs!$B$7*COS((-$B90))</f>
        <v>-215.3291746</v>
      </c>
      <c r="M90" s="29">
        <f>SQRT((K90-Inputs!$B$5)^2+(L90-Inputs!$B$6)^2)</f>
        <v>371.7458664</v>
      </c>
      <c r="N90" s="29">
        <f>MAX(MAX(Inputs!$B$5,(Inputs!$B$5+(K90-Inputs!$B$5)*MIN(1,$B$16/M90)))+$B$7/2,MAX((Inputs!$B$5+(K90-Inputs!$B$5)*MIN(1,$B$16/M90)),K90)+Inputs!$B$41)</f>
        <v>291.8</v>
      </c>
      <c r="O90" s="29">
        <f>MIN(IF(OR(Inputs!$C$68=0,((((Inputs!$C$68*COS((-$B90))+Inputs!$B$68*SIN((-$B90)))-Inputs!$B$5)*(K90-Inputs!$B$5)+((Inputs!$C$68*SIN((-$B90))-Inputs!$B$68*COS((-$B90)))-Inputs!$B$6)*(L90-Inputs!$B$6))/M90)&lt;0,((((Inputs!$C$68*COS((-$B90))+Inputs!$B$68*SIN((-$B90)))-Inputs!$B$5)*(K90-Inputs!$B$5)+((Inputs!$C$68*SIN((-$B90))-Inputs!$B$68*COS((-$B90)))-Inputs!$B$6)*(L90-Inputs!$B$6))/M90)&gt;M90-Inputs!$B$40),999,(ABS((K90-Inputs!$B$5)*((Inputs!$C$68*SIN((-$B90))-Inputs!$B$68*COS((-$B90)))-Inputs!$B$6)-(L90-Inputs!$B$6)*((Inputs!$C$68*COS((-$B90))+Inputs!$B$68*SIN((-$B90)))-Inputs!$B$5))/M90)-IF(((((Inputs!$C$68*COS((-$B90))+Inputs!$B$68*SIN((-$B90)))-Inputs!$B$5)*(K90-Inputs!$B$5)+((Inputs!$C$68*SIN((-$B90))-Inputs!$B$68*COS((-$B90)))-Inputs!$B$6)*(L90-Inputs!$B$6))/M90)&lt;$B$16,$B$7/2,$B$8/2)-Inputs!$B$39),IF(OR(Inputs!$C$69=0,((((Inputs!$C$69*COS((-$B90))+Inputs!$B$69*SIN((-$B90)))-Inputs!$B$5)*(K90-Inputs!$B$5)+((Inputs!$C$69*SIN((-$B90))-Inputs!$B$69*COS((-$B90)))-Inputs!$B$6)*(L90-Inputs!$B$6))/M90)&lt;0,((((Inputs!$C$69*COS((-$B90))+Inputs!$B$69*SIN((-$B90)))-Inputs!$B$5)*(K90-Inputs!$B$5)+((Inputs!$C$69*SIN((-$B90))-Inputs!$B$69*COS((-$B90)))-Inputs!$B$6)*(L90-Inputs!$B$6))/M90)&gt;M90-Inputs!$B$40),999,(ABS((K90-Inputs!$B$5)*((Inputs!$C$69*SIN((-$B90))-Inputs!$B$69*COS((-$B90)))-Inputs!$B$6)-(L90-Inputs!$B$6)*((Inputs!$C$69*COS((-$B90))+Inputs!$B$69*SIN((-$B90)))-Inputs!$B$5))/M90)-IF(((((Inputs!$C$69*COS((-$B90))+Inputs!$B$69*SIN((-$B90)))-Inputs!$B$5)*(K90-Inputs!$B$5)+((Inputs!$C$69*SIN((-$B90))-Inputs!$B$69*COS((-$B90)))-Inputs!$B$6)*(L90-Inputs!$B$6))/M90)&lt;$B$16,$B$7/2,$B$8/2)-Inputs!$B$39),IF(OR(Inputs!$C$70=0,((((Inputs!$C$70*COS((-$B90))+Inputs!$B$70*SIN((-$B90)))-Inputs!$B$5)*(K90-Inputs!$B$5)+((Inputs!$C$70*SIN((-$B90))-Inputs!$B$70*COS((-$B90)))-Inputs!$B$6)*(L90-Inputs!$B$6))/M90)&lt;0,((((Inputs!$C$70*COS((-$B90))+Inputs!$B$70*SIN((-$B90)))-Inputs!$B$5)*(K90-Inputs!$B$5)+((Inputs!$C$70*SIN((-$B90))-Inputs!$B$70*COS((-$B90)))-Inputs!$B$6)*(L90-Inputs!$B$6))/M90)&gt;M90-Inputs!$B$40),999,(ABS((K90-Inputs!$B$5)*((Inputs!$C$70*SIN((-$B90))-Inputs!$B$70*COS((-$B90)))-Inputs!$B$6)-(L90-Inputs!$B$6)*((Inputs!$C$70*COS((-$B90))+Inputs!$B$70*SIN((-$B90)))-Inputs!$B$5))/M90)-IF(((((Inputs!$C$70*COS((-$B90))+Inputs!$B$70*SIN((-$B90)))-Inputs!$B$5)*(K90-Inputs!$B$5)+((Inputs!$C$70*SIN((-$B90))-Inputs!$B$70*COS((-$B90)))-Inputs!$B$6)*(L90-Inputs!$B$6))/M90)&lt;$B$16,$B$7/2,$B$8/2)-Inputs!$B$39),IF(OR(Inputs!$C$71=0,((((Inputs!$C$71*COS((-$B90))+Inputs!$B$71*SIN((-$B90)))-Inputs!$B$5)*(K90-Inputs!$B$5)+((Inputs!$C$71*SIN((-$B90))-Inputs!$B$71*COS((-$B90)))-Inputs!$B$6)*(L90-Inputs!$B$6))/M90)&lt;0,((((Inputs!$C$71*COS((-$B90))+Inputs!$B$71*SIN((-$B90)))-Inputs!$B$5)*(K90-Inputs!$B$5)+((Inputs!$C$71*SIN((-$B90))-Inputs!$B$71*COS((-$B90)))-Inputs!$B$6)*(L90-Inputs!$B$6))/M90)&gt;M90-Inputs!$B$40),999,(ABS((K90-Inputs!$B$5)*((Inputs!$C$71*SIN((-$B90))-Inputs!$B$71*COS((-$B90)))-Inputs!$B$6)-(L90-Inputs!$B$6)*((Inputs!$C$71*COS((-$B90))+Inputs!$B$71*SIN((-$B90)))-Inputs!$B$5))/M90)-IF(((((Inputs!$C$71*COS((-$B90))+Inputs!$B$71*SIN((-$B90)))-Inputs!$B$5)*(K90-Inputs!$B$5)+((Inputs!$C$71*SIN((-$B90))-Inputs!$B$71*COS((-$B90)))-Inputs!$B$6)*(L90-Inputs!$B$6))/M90)&lt;$B$16,$B$7/2,$B$8/2)-Inputs!$B$39),IF(OR(Inputs!$C$72=0,((((Inputs!$C$72*COS((-$B90))+Inputs!$B$72*SIN((-$B90)))-Inputs!$B$5)*(K90-Inputs!$B$5)+((Inputs!$C$72*SIN((-$B90))-Inputs!$B$72*COS((-$B90)))-Inputs!$B$6)*(L90-Inputs!$B$6))/M90)&lt;0,((((Inputs!$C$72*COS((-$B90))+Inputs!$B$72*SIN((-$B90)))-Inputs!$B$5)*(K90-Inputs!$B$5)+((Inputs!$C$72*SIN((-$B90))-Inputs!$B$72*COS((-$B90)))-Inputs!$B$6)*(L90-Inputs!$B$6))/M90)&gt;M90-Inputs!$B$40),999,(ABS((K90-Inputs!$B$5)*((Inputs!$C$72*SIN((-$B90))-Inputs!$B$72*COS((-$B90)))-Inputs!$B$6)-(L90-Inputs!$B$6)*((Inputs!$C$72*COS((-$B90))+Inputs!$B$72*SIN((-$B90)))-Inputs!$B$5))/M90)-IF(((((Inputs!$C$72*COS((-$B90))+Inputs!$B$72*SIN((-$B90)))-Inputs!$B$5)*(K90-Inputs!$B$5)+((Inputs!$C$72*SIN((-$B90))-Inputs!$B$72*COS((-$B90)))-Inputs!$B$6)*(L90-Inputs!$B$6))/M90)&lt;$B$16,$B$7/2,$B$8/2)-Inputs!$B$39))</f>
        <v>10.13515084</v>
      </c>
      <c r="P90" s="76">
        <f>IF(AND(M90&gt;=$B$14,M90&lt;=$B$15,N90&lt;=Inputs!$B$38,O90&gt;=0,$D90=1),1,0)</f>
        <v>1</v>
      </c>
    </row>
    <row r="91" ht="15.75" customHeight="1">
      <c r="A91" s="23">
        <v>12.0</v>
      </c>
      <c r="B91" s="40">
        <f t="shared" si="4"/>
        <v>0.2094395102</v>
      </c>
      <c r="C91" s="29">
        <f>MAX(Inputs!$C$68*COS($B91)+Inputs!$B$68*ABS(SIN($B91)),Inputs!$C$69*COS($B91)+Inputs!$B$69*ABS(SIN($B91)),Inputs!$C$70*COS($B91)+Inputs!$B$70*ABS(SIN($B91)),Inputs!$C$71*COS($B91)+Inputs!$B$71*ABS(SIN($B91)),Inputs!$C$72*COS($B91)+Inputs!$B$72*ABS(SIN($B91)))</f>
        <v>160.1634775</v>
      </c>
      <c r="D91" s="108">
        <f>IF(C91&lt;=Inputs!$B$38,1,0)</f>
        <v>1</v>
      </c>
      <c r="E91" s="29">
        <f>Inputs!$B$11*COS(($B91))-Inputs!$B$7*SIN(($B91))</f>
        <v>135.3426764</v>
      </c>
      <c r="F91" s="29">
        <f>Inputs!$B$11*SIN(($B91))+Inputs!$B$7*COS(($B91))</f>
        <v>-175.700145</v>
      </c>
      <c r="G91" s="29">
        <f>SQRT((E91-Inputs!$B$5)^2+(F91-Inputs!$B$6)^2)</f>
        <v>298.5914798</v>
      </c>
      <c r="H91" s="29">
        <f>MAX(MAX(Inputs!$B$5,(Inputs!$B$5+(E91-Inputs!$B$5)*MIN(1,$B$16/G91)))+$B$7/2,MAX((Inputs!$B$5+(E91-Inputs!$B$5)*MIN(1,$B$16/G91)),E91)+Inputs!$B$41)</f>
        <v>291.8</v>
      </c>
      <c r="I91" s="29">
        <f>MIN(IF(OR(Inputs!$C$68=0,((((Inputs!$C$68*COS(($B91))+Inputs!$B$68*SIN(($B91)))-Inputs!$B$5)*(E91-Inputs!$B$5)+((Inputs!$C$68*SIN(($B91))-Inputs!$B$68*COS(($B91)))-Inputs!$B$6)*(F91-Inputs!$B$6))/G91)&lt;0,((((Inputs!$C$68*COS(($B91))+Inputs!$B$68*SIN(($B91)))-Inputs!$B$5)*(E91-Inputs!$B$5)+((Inputs!$C$68*SIN(($B91))-Inputs!$B$68*COS(($B91)))-Inputs!$B$6)*(F91-Inputs!$B$6))/G91)&gt;G91-Inputs!$B$40),999,(ABS((E91-Inputs!$B$5)*((Inputs!$C$68*SIN(($B91))-Inputs!$B$68*COS(($B91)))-Inputs!$B$6)-(F91-Inputs!$B$6)*((Inputs!$C$68*COS(($B91))+Inputs!$B$68*SIN(($B91)))-Inputs!$B$5))/G91)-IF(((((Inputs!$C$68*COS(($B91))+Inputs!$B$68*SIN(($B91)))-Inputs!$B$5)*(E91-Inputs!$B$5)+((Inputs!$C$68*SIN(($B91))-Inputs!$B$68*COS(($B91)))-Inputs!$B$6)*(F91-Inputs!$B$6))/G91)&lt;$B$16,$B$7/2,$B$8/2)-Inputs!$B$39),IF(OR(Inputs!$C$69=0,((((Inputs!$C$69*COS(($B91))+Inputs!$B$69*SIN(($B91)))-Inputs!$B$5)*(E91-Inputs!$B$5)+((Inputs!$C$69*SIN(($B91))-Inputs!$B$69*COS(($B91)))-Inputs!$B$6)*(F91-Inputs!$B$6))/G91)&lt;0,((((Inputs!$C$69*COS(($B91))+Inputs!$B$69*SIN(($B91)))-Inputs!$B$5)*(E91-Inputs!$B$5)+((Inputs!$C$69*SIN(($B91))-Inputs!$B$69*COS(($B91)))-Inputs!$B$6)*(F91-Inputs!$B$6))/G91)&gt;G91-Inputs!$B$40),999,(ABS((E91-Inputs!$B$5)*((Inputs!$C$69*SIN(($B91))-Inputs!$B$69*COS(($B91)))-Inputs!$B$6)-(F91-Inputs!$B$6)*((Inputs!$C$69*COS(($B91))+Inputs!$B$69*SIN(($B91)))-Inputs!$B$5))/G91)-IF(((((Inputs!$C$69*COS(($B91))+Inputs!$B$69*SIN(($B91)))-Inputs!$B$5)*(E91-Inputs!$B$5)+((Inputs!$C$69*SIN(($B91))-Inputs!$B$69*COS(($B91)))-Inputs!$B$6)*(F91-Inputs!$B$6))/G91)&lt;$B$16,$B$7/2,$B$8/2)-Inputs!$B$39),IF(OR(Inputs!$C$70=0,((((Inputs!$C$70*COS(($B91))+Inputs!$B$70*SIN(($B91)))-Inputs!$B$5)*(E91-Inputs!$B$5)+((Inputs!$C$70*SIN(($B91))-Inputs!$B$70*COS(($B91)))-Inputs!$B$6)*(F91-Inputs!$B$6))/G91)&lt;0,((((Inputs!$C$70*COS(($B91))+Inputs!$B$70*SIN(($B91)))-Inputs!$B$5)*(E91-Inputs!$B$5)+((Inputs!$C$70*SIN(($B91))-Inputs!$B$70*COS(($B91)))-Inputs!$B$6)*(F91-Inputs!$B$6))/G91)&gt;G91-Inputs!$B$40),999,(ABS((E91-Inputs!$B$5)*((Inputs!$C$70*SIN(($B91))-Inputs!$B$70*COS(($B91)))-Inputs!$B$6)-(F91-Inputs!$B$6)*((Inputs!$C$70*COS(($B91))+Inputs!$B$70*SIN(($B91)))-Inputs!$B$5))/G91)-IF(((((Inputs!$C$70*COS(($B91))+Inputs!$B$70*SIN(($B91)))-Inputs!$B$5)*(E91-Inputs!$B$5)+((Inputs!$C$70*SIN(($B91))-Inputs!$B$70*COS(($B91)))-Inputs!$B$6)*(F91-Inputs!$B$6))/G91)&lt;$B$16,$B$7/2,$B$8/2)-Inputs!$B$39),IF(OR(Inputs!$C$71=0,((((Inputs!$C$71*COS(($B91))+Inputs!$B$71*SIN(($B91)))-Inputs!$B$5)*(E91-Inputs!$B$5)+((Inputs!$C$71*SIN(($B91))-Inputs!$B$71*COS(($B91)))-Inputs!$B$6)*(F91-Inputs!$B$6))/G91)&lt;0,((((Inputs!$C$71*COS(($B91))+Inputs!$B$71*SIN(($B91)))-Inputs!$B$5)*(E91-Inputs!$B$5)+((Inputs!$C$71*SIN(($B91))-Inputs!$B$71*COS(($B91)))-Inputs!$B$6)*(F91-Inputs!$B$6))/G91)&gt;G91-Inputs!$B$40),999,(ABS((E91-Inputs!$B$5)*((Inputs!$C$71*SIN(($B91))-Inputs!$B$71*COS(($B91)))-Inputs!$B$6)-(F91-Inputs!$B$6)*((Inputs!$C$71*COS(($B91))+Inputs!$B$71*SIN(($B91)))-Inputs!$B$5))/G91)-IF(((((Inputs!$C$71*COS(($B91))+Inputs!$B$71*SIN(($B91)))-Inputs!$B$5)*(E91-Inputs!$B$5)+((Inputs!$C$71*SIN(($B91))-Inputs!$B$71*COS(($B91)))-Inputs!$B$6)*(F91-Inputs!$B$6))/G91)&lt;$B$16,$B$7/2,$B$8/2)-Inputs!$B$39),IF(OR(Inputs!$C$72=0,((((Inputs!$C$72*COS(($B91))+Inputs!$B$72*SIN(($B91)))-Inputs!$B$5)*(E91-Inputs!$B$5)+((Inputs!$C$72*SIN(($B91))-Inputs!$B$72*COS(($B91)))-Inputs!$B$6)*(F91-Inputs!$B$6))/G91)&lt;0,((((Inputs!$C$72*COS(($B91))+Inputs!$B$72*SIN(($B91)))-Inputs!$B$5)*(E91-Inputs!$B$5)+((Inputs!$C$72*SIN(($B91))-Inputs!$B$72*COS(($B91)))-Inputs!$B$6)*(F91-Inputs!$B$6))/G91)&gt;G91-Inputs!$B$40),999,(ABS((E91-Inputs!$B$5)*((Inputs!$C$72*SIN(($B91))-Inputs!$B$72*COS(($B91)))-Inputs!$B$6)-(F91-Inputs!$B$6)*((Inputs!$C$72*COS(($B91))+Inputs!$B$72*SIN(($B91)))-Inputs!$B$5))/G91)-IF(((((Inputs!$C$72*COS(($B91))+Inputs!$B$72*SIN(($B91)))-Inputs!$B$5)*(E91-Inputs!$B$5)+((Inputs!$C$72*SIN(($B91))-Inputs!$B$72*COS(($B91)))-Inputs!$B$6)*(F91-Inputs!$B$6))/G91)&lt;$B$16,$B$7/2,$B$8/2)-Inputs!$B$39))</f>
        <v>40.31835049</v>
      </c>
      <c r="J91" s="76">
        <f>IF(AND(G91&gt;=$B$14,G91&lt;=$B$15,H91&lt;=Inputs!$B$38,I91&gt;=0,$D91=1),1,0)</f>
        <v>0</v>
      </c>
      <c r="K91" s="29">
        <f>Inputs!$B$11*COS((-$B91))-Inputs!$B$7*SIN((-$B91))</f>
        <v>52.1780001</v>
      </c>
      <c r="L91" s="29">
        <f>Inputs!$B$11*SIN((-$B91))+Inputs!$B$7*COS((-$B91))</f>
        <v>-215.5588953</v>
      </c>
      <c r="M91" s="29">
        <f>SQRT((K91-Inputs!$B$5)^2+(L91-Inputs!$B$6)^2)</f>
        <v>372.4392031</v>
      </c>
      <c r="N91" s="29">
        <f>MAX(MAX(Inputs!$B$5,(Inputs!$B$5+(K91-Inputs!$B$5)*MIN(1,$B$16/M91)))+$B$7/2,MAX((Inputs!$B$5+(K91-Inputs!$B$5)*MIN(1,$B$16/M91)),K91)+Inputs!$B$41)</f>
        <v>291.8</v>
      </c>
      <c r="O91" s="29">
        <f>MIN(IF(OR(Inputs!$C$68=0,((((Inputs!$C$68*COS((-$B91))+Inputs!$B$68*SIN((-$B91)))-Inputs!$B$5)*(K91-Inputs!$B$5)+((Inputs!$C$68*SIN((-$B91))-Inputs!$B$68*COS((-$B91)))-Inputs!$B$6)*(L91-Inputs!$B$6))/M91)&lt;0,((((Inputs!$C$68*COS((-$B91))+Inputs!$B$68*SIN((-$B91)))-Inputs!$B$5)*(K91-Inputs!$B$5)+((Inputs!$C$68*SIN((-$B91))-Inputs!$B$68*COS((-$B91)))-Inputs!$B$6)*(L91-Inputs!$B$6))/M91)&gt;M91-Inputs!$B$40),999,(ABS((K91-Inputs!$B$5)*((Inputs!$C$68*SIN((-$B91))-Inputs!$B$68*COS((-$B91)))-Inputs!$B$6)-(L91-Inputs!$B$6)*((Inputs!$C$68*COS((-$B91))+Inputs!$B$68*SIN((-$B91)))-Inputs!$B$5))/M91)-IF(((((Inputs!$C$68*COS((-$B91))+Inputs!$B$68*SIN((-$B91)))-Inputs!$B$5)*(K91-Inputs!$B$5)+((Inputs!$C$68*SIN((-$B91))-Inputs!$B$68*COS((-$B91)))-Inputs!$B$6)*(L91-Inputs!$B$6))/M91)&lt;$B$16,$B$7/2,$B$8/2)-Inputs!$B$39),IF(OR(Inputs!$C$69=0,((((Inputs!$C$69*COS((-$B91))+Inputs!$B$69*SIN((-$B91)))-Inputs!$B$5)*(K91-Inputs!$B$5)+((Inputs!$C$69*SIN((-$B91))-Inputs!$B$69*COS((-$B91)))-Inputs!$B$6)*(L91-Inputs!$B$6))/M91)&lt;0,((((Inputs!$C$69*COS((-$B91))+Inputs!$B$69*SIN((-$B91)))-Inputs!$B$5)*(K91-Inputs!$B$5)+((Inputs!$C$69*SIN((-$B91))-Inputs!$B$69*COS((-$B91)))-Inputs!$B$6)*(L91-Inputs!$B$6))/M91)&gt;M91-Inputs!$B$40),999,(ABS((K91-Inputs!$B$5)*((Inputs!$C$69*SIN((-$B91))-Inputs!$B$69*COS((-$B91)))-Inputs!$B$6)-(L91-Inputs!$B$6)*((Inputs!$C$69*COS((-$B91))+Inputs!$B$69*SIN((-$B91)))-Inputs!$B$5))/M91)-IF(((((Inputs!$C$69*COS((-$B91))+Inputs!$B$69*SIN((-$B91)))-Inputs!$B$5)*(K91-Inputs!$B$5)+((Inputs!$C$69*SIN((-$B91))-Inputs!$B$69*COS((-$B91)))-Inputs!$B$6)*(L91-Inputs!$B$6))/M91)&lt;$B$16,$B$7/2,$B$8/2)-Inputs!$B$39),IF(OR(Inputs!$C$70=0,((((Inputs!$C$70*COS((-$B91))+Inputs!$B$70*SIN((-$B91)))-Inputs!$B$5)*(K91-Inputs!$B$5)+((Inputs!$C$70*SIN((-$B91))-Inputs!$B$70*COS((-$B91)))-Inputs!$B$6)*(L91-Inputs!$B$6))/M91)&lt;0,((((Inputs!$C$70*COS((-$B91))+Inputs!$B$70*SIN((-$B91)))-Inputs!$B$5)*(K91-Inputs!$B$5)+((Inputs!$C$70*SIN((-$B91))-Inputs!$B$70*COS((-$B91)))-Inputs!$B$6)*(L91-Inputs!$B$6))/M91)&gt;M91-Inputs!$B$40),999,(ABS((K91-Inputs!$B$5)*((Inputs!$C$70*SIN((-$B91))-Inputs!$B$70*COS((-$B91)))-Inputs!$B$6)-(L91-Inputs!$B$6)*((Inputs!$C$70*COS((-$B91))+Inputs!$B$70*SIN((-$B91)))-Inputs!$B$5))/M91)-IF(((((Inputs!$C$70*COS((-$B91))+Inputs!$B$70*SIN((-$B91)))-Inputs!$B$5)*(K91-Inputs!$B$5)+((Inputs!$C$70*SIN((-$B91))-Inputs!$B$70*COS((-$B91)))-Inputs!$B$6)*(L91-Inputs!$B$6))/M91)&lt;$B$16,$B$7/2,$B$8/2)-Inputs!$B$39),IF(OR(Inputs!$C$71=0,((((Inputs!$C$71*COS((-$B91))+Inputs!$B$71*SIN((-$B91)))-Inputs!$B$5)*(K91-Inputs!$B$5)+((Inputs!$C$71*SIN((-$B91))-Inputs!$B$71*COS((-$B91)))-Inputs!$B$6)*(L91-Inputs!$B$6))/M91)&lt;0,((((Inputs!$C$71*COS((-$B91))+Inputs!$B$71*SIN((-$B91)))-Inputs!$B$5)*(K91-Inputs!$B$5)+((Inputs!$C$71*SIN((-$B91))-Inputs!$B$71*COS((-$B91)))-Inputs!$B$6)*(L91-Inputs!$B$6))/M91)&gt;M91-Inputs!$B$40),999,(ABS((K91-Inputs!$B$5)*((Inputs!$C$71*SIN((-$B91))-Inputs!$B$71*COS((-$B91)))-Inputs!$B$6)-(L91-Inputs!$B$6)*((Inputs!$C$71*COS((-$B91))+Inputs!$B$71*SIN((-$B91)))-Inputs!$B$5))/M91)-IF(((((Inputs!$C$71*COS((-$B91))+Inputs!$B$71*SIN((-$B91)))-Inputs!$B$5)*(K91-Inputs!$B$5)+((Inputs!$C$71*SIN((-$B91))-Inputs!$B$71*COS((-$B91)))-Inputs!$B$6)*(L91-Inputs!$B$6))/M91)&lt;$B$16,$B$7/2,$B$8/2)-Inputs!$B$39),IF(OR(Inputs!$C$72=0,((((Inputs!$C$72*COS((-$B91))+Inputs!$B$72*SIN((-$B91)))-Inputs!$B$5)*(K91-Inputs!$B$5)+((Inputs!$C$72*SIN((-$B91))-Inputs!$B$72*COS((-$B91)))-Inputs!$B$6)*(L91-Inputs!$B$6))/M91)&lt;0,((((Inputs!$C$72*COS((-$B91))+Inputs!$B$72*SIN((-$B91)))-Inputs!$B$5)*(K91-Inputs!$B$5)+((Inputs!$C$72*SIN((-$B91))-Inputs!$B$72*COS((-$B91)))-Inputs!$B$6)*(L91-Inputs!$B$6))/M91)&gt;M91-Inputs!$B$40),999,(ABS((K91-Inputs!$B$5)*((Inputs!$C$72*SIN((-$B91))-Inputs!$B$72*COS((-$B91)))-Inputs!$B$6)-(L91-Inputs!$B$6)*((Inputs!$C$72*COS((-$B91))+Inputs!$B$72*SIN((-$B91)))-Inputs!$B$5))/M91)-IF(((((Inputs!$C$72*COS((-$B91))+Inputs!$B$72*SIN((-$B91)))-Inputs!$B$5)*(K91-Inputs!$B$5)+((Inputs!$C$72*SIN((-$B91))-Inputs!$B$72*COS((-$B91)))-Inputs!$B$6)*(L91-Inputs!$B$6))/M91)&lt;$B$16,$B$7/2,$B$8/2)-Inputs!$B$39))</f>
        <v>9.80625598</v>
      </c>
      <c r="P91" s="76">
        <f>IF(AND(M91&gt;=$B$14,M91&lt;=$B$15,N91&lt;=Inputs!$B$38,O91&gt;=0,$D91=1),1,0)</f>
        <v>1</v>
      </c>
    </row>
    <row r="92" ht="15.75" customHeight="1">
      <c r="A92" s="23">
        <v>12.25</v>
      </c>
      <c r="B92" s="40">
        <f t="shared" si="4"/>
        <v>0.2138028334</v>
      </c>
      <c r="C92" s="29">
        <f>MAX(Inputs!$C$68*COS($B92)+Inputs!$B$68*ABS(SIN($B92)),Inputs!$C$69*COS($B92)+Inputs!$B$69*ABS(SIN($B92)),Inputs!$C$70*COS($B92)+Inputs!$B$70*ABS(SIN($B92)),Inputs!$C$71*COS($B92)+Inputs!$B$71*ABS(SIN($B92)),Inputs!$C$72*COS($B92)+Inputs!$B$72*ABS(SIN($B92)))</f>
        <v>161.7918274</v>
      </c>
      <c r="D92" s="108">
        <f>IF(C92&lt;=Inputs!$B$38,1,0)</f>
        <v>1</v>
      </c>
      <c r="E92" s="29">
        <f>Inputs!$B$11*COS(($B92))-Inputs!$B$7*SIN(($B92))</f>
        <v>136.1080221</v>
      </c>
      <c r="F92" s="29">
        <f>Inputs!$B$11*SIN(($B92))+Inputs!$B$7*COS(($B92))</f>
        <v>-175.1079305</v>
      </c>
      <c r="G92" s="29">
        <f>SQRT((E92-Inputs!$B$5)^2+(F92-Inputs!$B$6)^2)</f>
        <v>297.7511647</v>
      </c>
      <c r="H92" s="29">
        <f>MAX(MAX(Inputs!$B$5,(Inputs!$B$5+(E92-Inputs!$B$5)*MIN(1,$B$16/G92)))+$B$7/2,MAX((Inputs!$B$5+(E92-Inputs!$B$5)*MIN(1,$B$16/G92)),E92)+Inputs!$B$41)</f>
        <v>291.8</v>
      </c>
      <c r="I92" s="29">
        <f>MIN(IF(OR(Inputs!$C$68=0,((((Inputs!$C$68*COS(($B92))+Inputs!$B$68*SIN(($B92)))-Inputs!$B$5)*(E92-Inputs!$B$5)+((Inputs!$C$68*SIN(($B92))-Inputs!$B$68*COS(($B92)))-Inputs!$B$6)*(F92-Inputs!$B$6))/G92)&lt;0,((((Inputs!$C$68*COS(($B92))+Inputs!$B$68*SIN(($B92)))-Inputs!$B$5)*(E92-Inputs!$B$5)+((Inputs!$C$68*SIN(($B92))-Inputs!$B$68*COS(($B92)))-Inputs!$B$6)*(F92-Inputs!$B$6))/G92)&gt;G92-Inputs!$B$40),999,(ABS((E92-Inputs!$B$5)*((Inputs!$C$68*SIN(($B92))-Inputs!$B$68*COS(($B92)))-Inputs!$B$6)-(F92-Inputs!$B$6)*((Inputs!$C$68*COS(($B92))+Inputs!$B$68*SIN(($B92)))-Inputs!$B$5))/G92)-IF(((((Inputs!$C$68*COS(($B92))+Inputs!$B$68*SIN(($B92)))-Inputs!$B$5)*(E92-Inputs!$B$5)+((Inputs!$C$68*SIN(($B92))-Inputs!$B$68*COS(($B92)))-Inputs!$B$6)*(F92-Inputs!$B$6))/G92)&lt;$B$16,$B$7/2,$B$8/2)-Inputs!$B$39),IF(OR(Inputs!$C$69=0,((((Inputs!$C$69*COS(($B92))+Inputs!$B$69*SIN(($B92)))-Inputs!$B$5)*(E92-Inputs!$B$5)+((Inputs!$C$69*SIN(($B92))-Inputs!$B$69*COS(($B92)))-Inputs!$B$6)*(F92-Inputs!$B$6))/G92)&lt;0,((((Inputs!$C$69*COS(($B92))+Inputs!$B$69*SIN(($B92)))-Inputs!$B$5)*(E92-Inputs!$B$5)+((Inputs!$C$69*SIN(($B92))-Inputs!$B$69*COS(($B92)))-Inputs!$B$6)*(F92-Inputs!$B$6))/G92)&gt;G92-Inputs!$B$40),999,(ABS((E92-Inputs!$B$5)*((Inputs!$C$69*SIN(($B92))-Inputs!$B$69*COS(($B92)))-Inputs!$B$6)-(F92-Inputs!$B$6)*((Inputs!$C$69*COS(($B92))+Inputs!$B$69*SIN(($B92)))-Inputs!$B$5))/G92)-IF(((((Inputs!$C$69*COS(($B92))+Inputs!$B$69*SIN(($B92)))-Inputs!$B$5)*(E92-Inputs!$B$5)+((Inputs!$C$69*SIN(($B92))-Inputs!$B$69*COS(($B92)))-Inputs!$B$6)*(F92-Inputs!$B$6))/G92)&lt;$B$16,$B$7/2,$B$8/2)-Inputs!$B$39),IF(OR(Inputs!$C$70=0,((((Inputs!$C$70*COS(($B92))+Inputs!$B$70*SIN(($B92)))-Inputs!$B$5)*(E92-Inputs!$B$5)+((Inputs!$C$70*SIN(($B92))-Inputs!$B$70*COS(($B92)))-Inputs!$B$6)*(F92-Inputs!$B$6))/G92)&lt;0,((((Inputs!$C$70*COS(($B92))+Inputs!$B$70*SIN(($B92)))-Inputs!$B$5)*(E92-Inputs!$B$5)+((Inputs!$C$70*SIN(($B92))-Inputs!$B$70*COS(($B92)))-Inputs!$B$6)*(F92-Inputs!$B$6))/G92)&gt;G92-Inputs!$B$40),999,(ABS((E92-Inputs!$B$5)*((Inputs!$C$70*SIN(($B92))-Inputs!$B$70*COS(($B92)))-Inputs!$B$6)-(F92-Inputs!$B$6)*((Inputs!$C$70*COS(($B92))+Inputs!$B$70*SIN(($B92)))-Inputs!$B$5))/G92)-IF(((((Inputs!$C$70*COS(($B92))+Inputs!$B$70*SIN(($B92)))-Inputs!$B$5)*(E92-Inputs!$B$5)+((Inputs!$C$70*SIN(($B92))-Inputs!$B$70*COS(($B92)))-Inputs!$B$6)*(F92-Inputs!$B$6))/G92)&lt;$B$16,$B$7/2,$B$8/2)-Inputs!$B$39),IF(OR(Inputs!$C$71=0,((((Inputs!$C$71*COS(($B92))+Inputs!$B$71*SIN(($B92)))-Inputs!$B$5)*(E92-Inputs!$B$5)+((Inputs!$C$71*SIN(($B92))-Inputs!$B$71*COS(($B92)))-Inputs!$B$6)*(F92-Inputs!$B$6))/G92)&lt;0,((((Inputs!$C$71*COS(($B92))+Inputs!$B$71*SIN(($B92)))-Inputs!$B$5)*(E92-Inputs!$B$5)+((Inputs!$C$71*SIN(($B92))-Inputs!$B$71*COS(($B92)))-Inputs!$B$6)*(F92-Inputs!$B$6))/G92)&gt;G92-Inputs!$B$40),999,(ABS((E92-Inputs!$B$5)*((Inputs!$C$71*SIN(($B92))-Inputs!$B$71*COS(($B92)))-Inputs!$B$6)-(F92-Inputs!$B$6)*((Inputs!$C$71*COS(($B92))+Inputs!$B$71*SIN(($B92)))-Inputs!$B$5))/G92)-IF(((((Inputs!$C$71*COS(($B92))+Inputs!$B$71*SIN(($B92)))-Inputs!$B$5)*(E92-Inputs!$B$5)+((Inputs!$C$71*SIN(($B92))-Inputs!$B$71*COS(($B92)))-Inputs!$B$6)*(F92-Inputs!$B$6))/G92)&lt;$B$16,$B$7/2,$B$8/2)-Inputs!$B$39),IF(OR(Inputs!$C$72=0,((((Inputs!$C$72*COS(($B92))+Inputs!$B$72*SIN(($B92)))-Inputs!$B$5)*(E92-Inputs!$B$5)+((Inputs!$C$72*SIN(($B92))-Inputs!$B$72*COS(($B92)))-Inputs!$B$6)*(F92-Inputs!$B$6))/G92)&lt;0,((((Inputs!$C$72*COS(($B92))+Inputs!$B$72*SIN(($B92)))-Inputs!$B$5)*(E92-Inputs!$B$5)+((Inputs!$C$72*SIN(($B92))-Inputs!$B$72*COS(($B92)))-Inputs!$B$6)*(F92-Inputs!$B$6))/G92)&gt;G92-Inputs!$B$40),999,(ABS((E92-Inputs!$B$5)*((Inputs!$C$72*SIN(($B92))-Inputs!$B$72*COS(($B92)))-Inputs!$B$6)-(F92-Inputs!$B$6)*((Inputs!$C$72*COS(($B92))+Inputs!$B$72*SIN(($B92)))-Inputs!$B$5))/G92)-IF(((((Inputs!$C$72*COS(($B92))+Inputs!$B$72*SIN(($B92)))-Inputs!$B$5)*(E92-Inputs!$B$5)+((Inputs!$C$72*SIN(($B92))-Inputs!$B$72*COS(($B92)))-Inputs!$B$6)*(F92-Inputs!$B$6))/G92)&lt;$B$16,$B$7/2,$B$8/2)-Inputs!$B$39))</f>
        <v>40.5076313</v>
      </c>
      <c r="J92" s="76">
        <f>IF(AND(G92&gt;=$B$14,G92&lt;=$B$15,H92&lt;=Inputs!$B$38,I92&gt;=0,$D92=1),1,0)</f>
        <v>0</v>
      </c>
      <c r="K92" s="29">
        <f>Inputs!$B$11*COS((-$B92))-Inputs!$B$7*SIN((-$B92))</f>
        <v>51.23695328</v>
      </c>
      <c r="L92" s="29">
        <f>Inputs!$B$11*SIN((-$B92))+Inputs!$B$7*COS((-$B92))</f>
        <v>-215.7845121</v>
      </c>
      <c r="M92" s="29">
        <f>SQRT((K92-Inputs!$B$5)^2+(L92-Inputs!$B$6)^2)</f>
        <v>373.1308173</v>
      </c>
      <c r="N92" s="29">
        <f>MAX(MAX(Inputs!$B$5,(Inputs!$B$5+(K92-Inputs!$B$5)*MIN(1,$B$16/M92)))+$B$7/2,MAX((Inputs!$B$5+(K92-Inputs!$B$5)*MIN(1,$B$16/M92)),K92)+Inputs!$B$41)</f>
        <v>291.8</v>
      </c>
      <c r="O92" s="29">
        <f>MIN(IF(OR(Inputs!$C$68=0,((((Inputs!$C$68*COS((-$B92))+Inputs!$B$68*SIN((-$B92)))-Inputs!$B$5)*(K92-Inputs!$B$5)+((Inputs!$C$68*SIN((-$B92))-Inputs!$B$68*COS((-$B92)))-Inputs!$B$6)*(L92-Inputs!$B$6))/M92)&lt;0,((((Inputs!$C$68*COS((-$B92))+Inputs!$B$68*SIN((-$B92)))-Inputs!$B$5)*(K92-Inputs!$B$5)+((Inputs!$C$68*SIN((-$B92))-Inputs!$B$68*COS((-$B92)))-Inputs!$B$6)*(L92-Inputs!$B$6))/M92)&gt;M92-Inputs!$B$40),999,(ABS((K92-Inputs!$B$5)*((Inputs!$C$68*SIN((-$B92))-Inputs!$B$68*COS((-$B92)))-Inputs!$B$6)-(L92-Inputs!$B$6)*((Inputs!$C$68*COS((-$B92))+Inputs!$B$68*SIN((-$B92)))-Inputs!$B$5))/M92)-IF(((((Inputs!$C$68*COS((-$B92))+Inputs!$B$68*SIN((-$B92)))-Inputs!$B$5)*(K92-Inputs!$B$5)+((Inputs!$C$68*SIN((-$B92))-Inputs!$B$68*COS((-$B92)))-Inputs!$B$6)*(L92-Inputs!$B$6))/M92)&lt;$B$16,$B$7/2,$B$8/2)-Inputs!$B$39),IF(OR(Inputs!$C$69=0,((((Inputs!$C$69*COS((-$B92))+Inputs!$B$69*SIN((-$B92)))-Inputs!$B$5)*(K92-Inputs!$B$5)+((Inputs!$C$69*SIN((-$B92))-Inputs!$B$69*COS((-$B92)))-Inputs!$B$6)*(L92-Inputs!$B$6))/M92)&lt;0,((((Inputs!$C$69*COS((-$B92))+Inputs!$B$69*SIN((-$B92)))-Inputs!$B$5)*(K92-Inputs!$B$5)+((Inputs!$C$69*SIN((-$B92))-Inputs!$B$69*COS((-$B92)))-Inputs!$B$6)*(L92-Inputs!$B$6))/M92)&gt;M92-Inputs!$B$40),999,(ABS((K92-Inputs!$B$5)*((Inputs!$C$69*SIN((-$B92))-Inputs!$B$69*COS((-$B92)))-Inputs!$B$6)-(L92-Inputs!$B$6)*((Inputs!$C$69*COS((-$B92))+Inputs!$B$69*SIN((-$B92)))-Inputs!$B$5))/M92)-IF(((((Inputs!$C$69*COS((-$B92))+Inputs!$B$69*SIN((-$B92)))-Inputs!$B$5)*(K92-Inputs!$B$5)+((Inputs!$C$69*SIN((-$B92))-Inputs!$B$69*COS((-$B92)))-Inputs!$B$6)*(L92-Inputs!$B$6))/M92)&lt;$B$16,$B$7/2,$B$8/2)-Inputs!$B$39),IF(OR(Inputs!$C$70=0,((((Inputs!$C$70*COS((-$B92))+Inputs!$B$70*SIN((-$B92)))-Inputs!$B$5)*(K92-Inputs!$B$5)+((Inputs!$C$70*SIN((-$B92))-Inputs!$B$70*COS((-$B92)))-Inputs!$B$6)*(L92-Inputs!$B$6))/M92)&lt;0,((((Inputs!$C$70*COS((-$B92))+Inputs!$B$70*SIN((-$B92)))-Inputs!$B$5)*(K92-Inputs!$B$5)+((Inputs!$C$70*SIN((-$B92))-Inputs!$B$70*COS((-$B92)))-Inputs!$B$6)*(L92-Inputs!$B$6))/M92)&gt;M92-Inputs!$B$40),999,(ABS((K92-Inputs!$B$5)*((Inputs!$C$70*SIN((-$B92))-Inputs!$B$70*COS((-$B92)))-Inputs!$B$6)-(L92-Inputs!$B$6)*((Inputs!$C$70*COS((-$B92))+Inputs!$B$70*SIN((-$B92)))-Inputs!$B$5))/M92)-IF(((((Inputs!$C$70*COS((-$B92))+Inputs!$B$70*SIN((-$B92)))-Inputs!$B$5)*(K92-Inputs!$B$5)+((Inputs!$C$70*SIN((-$B92))-Inputs!$B$70*COS((-$B92)))-Inputs!$B$6)*(L92-Inputs!$B$6))/M92)&lt;$B$16,$B$7/2,$B$8/2)-Inputs!$B$39),IF(OR(Inputs!$C$71=0,((((Inputs!$C$71*COS((-$B92))+Inputs!$B$71*SIN((-$B92)))-Inputs!$B$5)*(K92-Inputs!$B$5)+((Inputs!$C$71*SIN((-$B92))-Inputs!$B$71*COS((-$B92)))-Inputs!$B$6)*(L92-Inputs!$B$6))/M92)&lt;0,((((Inputs!$C$71*COS((-$B92))+Inputs!$B$71*SIN((-$B92)))-Inputs!$B$5)*(K92-Inputs!$B$5)+((Inputs!$C$71*SIN((-$B92))-Inputs!$B$71*COS((-$B92)))-Inputs!$B$6)*(L92-Inputs!$B$6))/M92)&gt;M92-Inputs!$B$40),999,(ABS((K92-Inputs!$B$5)*((Inputs!$C$71*SIN((-$B92))-Inputs!$B$71*COS((-$B92)))-Inputs!$B$6)-(L92-Inputs!$B$6)*((Inputs!$C$71*COS((-$B92))+Inputs!$B$71*SIN((-$B92)))-Inputs!$B$5))/M92)-IF(((((Inputs!$C$71*COS((-$B92))+Inputs!$B$71*SIN((-$B92)))-Inputs!$B$5)*(K92-Inputs!$B$5)+((Inputs!$C$71*SIN((-$B92))-Inputs!$B$71*COS((-$B92)))-Inputs!$B$6)*(L92-Inputs!$B$6))/M92)&lt;$B$16,$B$7/2,$B$8/2)-Inputs!$B$39),IF(OR(Inputs!$C$72=0,((((Inputs!$C$72*COS((-$B92))+Inputs!$B$72*SIN((-$B92)))-Inputs!$B$5)*(K92-Inputs!$B$5)+((Inputs!$C$72*SIN((-$B92))-Inputs!$B$72*COS((-$B92)))-Inputs!$B$6)*(L92-Inputs!$B$6))/M92)&lt;0,((((Inputs!$C$72*COS((-$B92))+Inputs!$B$72*SIN((-$B92)))-Inputs!$B$5)*(K92-Inputs!$B$5)+((Inputs!$C$72*SIN((-$B92))-Inputs!$B$72*COS((-$B92)))-Inputs!$B$6)*(L92-Inputs!$B$6))/M92)&gt;M92-Inputs!$B$40),999,(ABS((K92-Inputs!$B$5)*((Inputs!$C$72*SIN((-$B92))-Inputs!$B$72*COS((-$B92)))-Inputs!$B$6)-(L92-Inputs!$B$6)*((Inputs!$C$72*COS((-$B92))+Inputs!$B$72*SIN((-$B92)))-Inputs!$B$5))/M92)-IF(((((Inputs!$C$72*COS((-$B92))+Inputs!$B$72*SIN((-$B92)))-Inputs!$B$5)*(K92-Inputs!$B$5)+((Inputs!$C$72*SIN((-$B92))-Inputs!$B$72*COS((-$B92)))-Inputs!$B$6)*(L92-Inputs!$B$6))/M92)&lt;$B$16,$B$7/2,$B$8/2)-Inputs!$B$39))</f>
        <v>9.477182534</v>
      </c>
      <c r="P92" s="76">
        <f>IF(AND(M92&gt;=$B$14,M92&lt;=$B$15,N92&lt;=Inputs!$B$38,O92&gt;=0,$D92=1),1,0)</f>
        <v>0</v>
      </c>
    </row>
    <row r="93" ht="15.75" customHeight="1">
      <c r="A93" s="23">
        <v>12.5</v>
      </c>
      <c r="B93" s="40">
        <f t="shared" si="4"/>
        <v>0.2181661565</v>
      </c>
      <c r="C93" s="29">
        <f>MAX(Inputs!$C$68*COS($B93)+Inputs!$B$68*ABS(SIN($B93)),Inputs!$C$69*COS($B93)+Inputs!$B$69*ABS(SIN($B93)),Inputs!$C$70*COS($B93)+Inputs!$B$70*ABS(SIN($B93)),Inputs!$C$71*COS($B93)+Inputs!$B$71*ABS(SIN($B93)),Inputs!$C$72*COS($B93)+Inputs!$B$72*ABS(SIN($B93)))</f>
        <v>163.417097</v>
      </c>
      <c r="D93" s="108">
        <f>IF(C93&lt;=Inputs!$B$38,1,0)</f>
        <v>1</v>
      </c>
      <c r="E93" s="29">
        <f>Inputs!$B$11*COS(($B93))-Inputs!$B$7*SIN(($B93))</f>
        <v>136.8707766</v>
      </c>
      <c r="F93" s="29">
        <f>Inputs!$B$11*SIN(($B93))+Inputs!$B$7*COS(($B93))</f>
        <v>-174.5123822</v>
      </c>
      <c r="G93" s="29">
        <f>SQRT((E93-Inputs!$B$5)^2+(F93-Inputs!$B$6)^2)</f>
        <v>296.9095303</v>
      </c>
      <c r="H93" s="29">
        <f>MAX(MAX(Inputs!$B$5,(Inputs!$B$5+(E93-Inputs!$B$5)*MIN(1,$B$16/G93)))+$B$7/2,MAX((Inputs!$B$5+(E93-Inputs!$B$5)*MIN(1,$B$16/G93)),E93)+Inputs!$B$41)</f>
        <v>291.8</v>
      </c>
      <c r="I93" s="29">
        <f>MIN(IF(OR(Inputs!$C$68=0,((((Inputs!$C$68*COS(($B93))+Inputs!$B$68*SIN(($B93)))-Inputs!$B$5)*(E93-Inputs!$B$5)+((Inputs!$C$68*SIN(($B93))-Inputs!$B$68*COS(($B93)))-Inputs!$B$6)*(F93-Inputs!$B$6))/G93)&lt;0,((((Inputs!$C$68*COS(($B93))+Inputs!$B$68*SIN(($B93)))-Inputs!$B$5)*(E93-Inputs!$B$5)+((Inputs!$C$68*SIN(($B93))-Inputs!$B$68*COS(($B93)))-Inputs!$B$6)*(F93-Inputs!$B$6))/G93)&gt;G93-Inputs!$B$40),999,(ABS((E93-Inputs!$B$5)*((Inputs!$C$68*SIN(($B93))-Inputs!$B$68*COS(($B93)))-Inputs!$B$6)-(F93-Inputs!$B$6)*((Inputs!$C$68*COS(($B93))+Inputs!$B$68*SIN(($B93)))-Inputs!$B$5))/G93)-IF(((((Inputs!$C$68*COS(($B93))+Inputs!$B$68*SIN(($B93)))-Inputs!$B$5)*(E93-Inputs!$B$5)+((Inputs!$C$68*SIN(($B93))-Inputs!$B$68*COS(($B93)))-Inputs!$B$6)*(F93-Inputs!$B$6))/G93)&lt;$B$16,$B$7/2,$B$8/2)-Inputs!$B$39),IF(OR(Inputs!$C$69=0,((((Inputs!$C$69*COS(($B93))+Inputs!$B$69*SIN(($B93)))-Inputs!$B$5)*(E93-Inputs!$B$5)+((Inputs!$C$69*SIN(($B93))-Inputs!$B$69*COS(($B93)))-Inputs!$B$6)*(F93-Inputs!$B$6))/G93)&lt;0,((((Inputs!$C$69*COS(($B93))+Inputs!$B$69*SIN(($B93)))-Inputs!$B$5)*(E93-Inputs!$B$5)+((Inputs!$C$69*SIN(($B93))-Inputs!$B$69*COS(($B93)))-Inputs!$B$6)*(F93-Inputs!$B$6))/G93)&gt;G93-Inputs!$B$40),999,(ABS((E93-Inputs!$B$5)*((Inputs!$C$69*SIN(($B93))-Inputs!$B$69*COS(($B93)))-Inputs!$B$6)-(F93-Inputs!$B$6)*((Inputs!$C$69*COS(($B93))+Inputs!$B$69*SIN(($B93)))-Inputs!$B$5))/G93)-IF(((((Inputs!$C$69*COS(($B93))+Inputs!$B$69*SIN(($B93)))-Inputs!$B$5)*(E93-Inputs!$B$5)+((Inputs!$C$69*SIN(($B93))-Inputs!$B$69*COS(($B93)))-Inputs!$B$6)*(F93-Inputs!$B$6))/G93)&lt;$B$16,$B$7/2,$B$8/2)-Inputs!$B$39),IF(OR(Inputs!$C$70=0,((((Inputs!$C$70*COS(($B93))+Inputs!$B$70*SIN(($B93)))-Inputs!$B$5)*(E93-Inputs!$B$5)+((Inputs!$C$70*SIN(($B93))-Inputs!$B$70*COS(($B93)))-Inputs!$B$6)*(F93-Inputs!$B$6))/G93)&lt;0,((((Inputs!$C$70*COS(($B93))+Inputs!$B$70*SIN(($B93)))-Inputs!$B$5)*(E93-Inputs!$B$5)+((Inputs!$C$70*SIN(($B93))-Inputs!$B$70*COS(($B93)))-Inputs!$B$6)*(F93-Inputs!$B$6))/G93)&gt;G93-Inputs!$B$40),999,(ABS((E93-Inputs!$B$5)*((Inputs!$C$70*SIN(($B93))-Inputs!$B$70*COS(($B93)))-Inputs!$B$6)-(F93-Inputs!$B$6)*((Inputs!$C$70*COS(($B93))+Inputs!$B$70*SIN(($B93)))-Inputs!$B$5))/G93)-IF(((((Inputs!$C$70*COS(($B93))+Inputs!$B$70*SIN(($B93)))-Inputs!$B$5)*(E93-Inputs!$B$5)+((Inputs!$C$70*SIN(($B93))-Inputs!$B$70*COS(($B93)))-Inputs!$B$6)*(F93-Inputs!$B$6))/G93)&lt;$B$16,$B$7/2,$B$8/2)-Inputs!$B$39),IF(OR(Inputs!$C$71=0,((((Inputs!$C$71*COS(($B93))+Inputs!$B$71*SIN(($B93)))-Inputs!$B$5)*(E93-Inputs!$B$5)+((Inputs!$C$71*SIN(($B93))-Inputs!$B$71*COS(($B93)))-Inputs!$B$6)*(F93-Inputs!$B$6))/G93)&lt;0,((((Inputs!$C$71*COS(($B93))+Inputs!$B$71*SIN(($B93)))-Inputs!$B$5)*(E93-Inputs!$B$5)+((Inputs!$C$71*SIN(($B93))-Inputs!$B$71*COS(($B93)))-Inputs!$B$6)*(F93-Inputs!$B$6))/G93)&gt;G93-Inputs!$B$40),999,(ABS((E93-Inputs!$B$5)*((Inputs!$C$71*SIN(($B93))-Inputs!$B$71*COS(($B93)))-Inputs!$B$6)-(F93-Inputs!$B$6)*((Inputs!$C$71*COS(($B93))+Inputs!$B$71*SIN(($B93)))-Inputs!$B$5))/G93)-IF(((((Inputs!$C$71*COS(($B93))+Inputs!$B$71*SIN(($B93)))-Inputs!$B$5)*(E93-Inputs!$B$5)+((Inputs!$C$71*SIN(($B93))-Inputs!$B$71*COS(($B93)))-Inputs!$B$6)*(F93-Inputs!$B$6))/G93)&lt;$B$16,$B$7/2,$B$8/2)-Inputs!$B$39),IF(OR(Inputs!$C$72=0,((((Inputs!$C$72*COS(($B93))+Inputs!$B$72*SIN(($B93)))-Inputs!$B$5)*(E93-Inputs!$B$5)+((Inputs!$C$72*SIN(($B93))-Inputs!$B$72*COS(($B93)))-Inputs!$B$6)*(F93-Inputs!$B$6))/G93)&lt;0,((((Inputs!$C$72*COS(($B93))+Inputs!$B$72*SIN(($B93)))-Inputs!$B$5)*(E93-Inputs!$B$5)+((Inputs!$C$72*SIN(($B93))-Inputs!$B$72*COS(($B93)))-Inputs!$B$6)*(F93-Inputs!$B$6))/G93)&gt;G93-Inputs!$B$40),999,(ABS((E93-Inputs!$B$5)*((Inputs!$C$72*SIN(($B93))-Inputs!$B$72*COS(($B93)))-Inputs!$B$6)-(F93-Inputs!$B$6)*((Inputs!$C$72*COS(($B93))+Inputs!$B$72*SIN(($B93)))-Inputs!$B$5))/G93)-IF(((((Inputs!$C$72*COS(($B93))+Inputs!$B$72*SIN(($B93)))-Inputs!$B$5)*(E93-Inputs!$B$5)+((Inputs!$C$72*SIN(($B93))-Inputs!$B$72*COS(($B93)))-Inputs!$B$6)*(F93-Inputs!$B$6))/G93)&lt;$B$16,$B$7/2,$B$8/2)-Inputs!$B$39))</f>
        <v>40.69648682</v>
      </c>
      <c r="J93" s="76">
        <f>IF(AND(G93&gt;=$B$14,G93&lt;=$B$15,H93&lt;=Inputs!$B$38,I93&gt;=0,$D93=1),1,0)</f>
        <v>0</v>
      </c>
      <c r="K93" s="29">
        <f>Inputs!$B$11*COS((-$B93))-Inputs!$B$7*SIN((-$B93))</f>
        <v>50.29493097</v>
      </c>
      <c r="L93" s="29">
        <f>Inputs!$B$11*SIN((-$B93))+Inputs!$B$7*COS((-$B93))</f>
        <v>-216.0060206</v>
      </c>
      <c r="M93" s="29">
        <f>SQRT((K93-Inputs!$B$5)^2+(L93-Inputs!$B$6)^2)</f>
        <v>373.8207052</v>
      </c>
      <c r="N93" s="29">
        <f>MAX(MAX(Inputs!$B$5,(Inputs!$B$5+(K93-Inputs!$B$5)*MIN(1,$B$16/M93)))+$B$7/2,MAX((Inputs!$B$5+(K93-Inputs!$B$5)*MIN(1,$B$16/M93)),K93)+Inputs!$B$41)</f>
        <v>291.8</v>
      </c>
      <c r="O93" s="29">
        <f>MIN(IF(OR(Inputs!$C$68=0,((((Inputs!$C$68*COS((-$B93))+Inputs!$B$68*SIN((-$B93)))-Inputs!$B$5)*(K93-Inputs!$B$5)+((Inputs!$C$68*SIN((-$B93))-Inputs!$B$68*COS((-$B93)))-Inputs!$B$6)*(L93-Inputs!$B$6))/M93)&lt;0,((((Inputs!$C$68*COS((-$B93))+Inputs!$B$68*SIN((-$B93)))-Inputs!$B$5)*(K93-Inputs!$B$5)+((Inputs!$C$68*SIN((-$B93))-Inputs!$B$68*COS((-$B93)))-Inputs!$B$6)*(L93-Inputs!$B$6))/M93)&gt;M93-Inputs!$B$40),999,(ABS((K93-Inputs!$B$5)*((Inputs!$C$68*SIN((-$B93))-Inputs!$B$68*COS((-$B93)))-Inputs!$B$6)-(L93-Inputs!$B$6)*((Inputs!$C$68*COS((-$B93))+Inputs!$B$68*SIN((-$B93)))-Inputs!$B$5))/M93)-IF(((((Inputs!$C$68*COS((-$B93))+Inputs!$B$68*SIN((-$B93)))-Inputs!$B$5)*(K93-Inputs!$B$5)+((Inputs!$C$68*SIN((-$B93))-Inputs!$B$68*COS((-$B93)))-Inputs!$B$6)*(L93-Inputs!$B$6))/M93)&lt;$B$16,$B$7/2,$B$8/2)-Inputs!$B$39),IF(OR(Inputs!$C$69=0,((((Inputs!$C$69*COS((-$B93))+Inputs!$B$69*SIN((-$B93)))-Inputs!$B$5)*(K93-Inputs!$B$5)+((Inputs!$C$69*SIN((-$B93))-Inputs!$B$69*COS((-$B93)))-Inputs!$B$6)*(L93-Inputs!$B$6))/M93)&lt;0,((((Inputs!$C$69*COS((-$B93))+Inputs!$B$69*SIN((-$B93)))-Inputs!$B$5)*(K93-Inputs!$B$5)+((Inputs!$C$69*SIN((-$B93))-Inputs!$B$69*COS((-$B93)))-Inputs!$B$6)*(L93-Inputs!$B$6))/M93)&gt;M93-Inputs!$B$40),999,(ABS((K93-Inputs!$B$5)*((Inputs!$C$69*SIN((-$B93))-Inputs!$B$69*COS((-$B93)))-Inputs!$B$6)-(L93-Inputs!$B$6)*((Inputs!$C$69*COS((-$B93))+Inputs!$B$69*SIN((-$B93)))-Inputs!$B$5))/M93)-IF(((((Inputs!$C$69*COS((-$B93))+Inputs!$B$69*SIN((-$B93)))-Inputs!$B$5)*(K93-Inputs!$B$5)+((Inputs!$C$69*SIN((-$B93))-Inputs!$B$69*COS((-$B93)))-Inputs!$B$6)*(L93-Inputs!$B$6))/M93)&lt;$B$16,$B$7/2,$B$8/2)-Inputs!$B$39),IF(OR(Inputs!$C$70=0,((((Inputs!$C$70*COS((-$B93))+Inputs!$B$70*SIN((-$B93)))-Inputs!$B$5)*(K93-Inputs!$B$5)+((Inputs!$C$70*SIN((-$B93))-Inputs!$B$70*COS((-$B93)))-Inputs!$B$6)*(L93-Inputs!$B$6))/M93)&lt;0,((((Inputs!$C$70*COS((-$B93))+Inputs!$B$70*SIN((-$B93)))-Inputs!$B$5)*(K93-Inputs!$B$5)+((Inputs!$C$70*SIN((-$B93))-Inputs!$B$70*COS((-$B93)))-Inputs!$B$6)*(L93-Inputs!$B$6))/M93)&gt;M93-Inputs!$B$40),999,(ABS((K93-Inputs!$B$5)*((Inputs!$C$70*SIN((-$B93))-Inputs!$B$70*COS((-$B93)))-Inputs!$B$6)-(L93-Inputs!$B$6)*((Inputs!$C$70*COS((-$B93))+Inputs!$B$70*SIN((-$B93)))-Inputs!$B$5))/M93)-IF(((((Inputs!$C$70*COS((-$B93))+Inputs!$B$70*SIN((-$B93)))-Inputs!$B$5)*(K93-Inputs!$B$5)+((Inputs!$C$70*SIN((-$B93))-Inputs!$B$70*COS((-$B93)))-Inputs!$B$6)*(L93-Inputs!$B$6))/M93)&lt;$B$16,$B$7/2,$B$8/2)-Inputs!$B$39),IF(OR(Inputs!$C$71=0,((((Inputs!$C$71*COS((-$B93))+Inputs!$B$71*SIN((-$B93)))-Inputs!$B$5)*(K93-Inputs!$B$5)+((Inputs!$C$71*SIN((-$B93))-Inputs!$B$71*COS((-$B93)))-Inputs!$B$6)*(L93-Inputs!$B$6))/M93)&lt;0,((((Inputs!$C$71*COS((-$B93))+Inputs!$B$71*SIN((-$B93)))-Inputs!$B$5)*(K93-Inputs!$B$5)+((Inputs!$C$71*SIN((-$B93))-Inputs!$B$71*COS((-$B93)))-Inputs!$B$6)*(L93-Inputs!$B$6))/M93)&gt;M93-Inputs!$B$40),999,(ABS((K93-Inputs!$B$5)*((Inputs!$C$71*SIN((-$B93))-Inputs!$B$71*COS((-$B93)))-Inputs!$B$6)-(L93-Inputs!$B$6)*((Inputs!$C$71*COS((-$B93))+Inputs!$B$71*SIN((-$B93)))-Inputs!$B$5))/M93)-IF(((((Inputs!$C$71*COS((-$B93))+Inputs!$B$71*SIN((-$B93)))-Inputs!$B$5)*(K93-Inputs!$B$5)+((Inputs!$C$71*SIN((-$B93))-Inputs!$B$71*COS((-$B93)))-Inputs!$B$6)*(L93-Inputs!$B$6))/M93)&lt;$B$16,$B$7/2,$B$8/2)-Inputs!$B$39),IF(OR(Inputs!$C$72=0,((((Inputs!$C$72*COS((-$B93))+Inputs!$B$72*SIN((-$B93)))-Inputs!$B$5)*(K93-Inputs!$B$5)+((Inputs!$C$72*SIN((-$B93))-Inputs!$B$72*COS((-$B93)))-Inputs!$B$6)*(L93-Inputs!$B$6))/M93)&lt;0,((((Inputs!$C$72*COS((-$B93))+Inputs!$B$72*SIN((-$B93)))-Inputs!$B$5)*(K93-Inputs!$B$5)+((Inputs!$C$72*SIN((-$B93))-Inputs!$B$72*COS((-$B93)))-Inputs!$B$6)*(L93-Inputs!$B$6))/M93)&gt;M93-Inputs!$B$40),999,(ABS((K93-Inputs!$B$5)*((Inputs!$C$72*SIN((-$B93))-Inputs!$B$72*COS((-$B93)))-Inputs!$B$6)-(L93-Inputs!$B$6)*((Inputs!$C$72*COS((-$B93))+Inputs!$B$72*SIN((-$B93)))-Inputs!$B$5))/M93)-IF(((((Inputs!$C$72*COS((-$B93))+Inputs!$B$72*SIN((-$B93)))-Inputs!$B$5)*(K93-Inputs!$B$5)+((Inputs!$C$72*SIN((-$B93))-Inputs!$B$72*COS((-$B93)))-Inputs!$B$6)*(L93-Inputs!$B$6))/M93)&lt;$B$16,$B$7/2,$B$8/2)-Inputs!$B$39))</f>
        <v>9.147931785</v>
      </c>
      <c r="P93" s="76">
        <f>IF(AND(M93&gt;=$B$14,M93&lt;=$B$15,N93&lt;=Inputs!$B$38,O93&gt;=0,$D93=1),1,0)</f>
        <v>0</v>
      </c>
    </row>
    <row r="94" ht="15.75" customHeight="1">
      <c r="A94" s="23">
        <v>12.75</v>
      </c>
      <c r="B94" s="40">
        <f t="shared" si="4"/>
        <v>0.2225294796</v>
      </c>
      <c r="C94" s="29">
        <f>MAX(Inputs!$C$68*COS($B94)+Inputs!$B$68*ABS(SIN($B94)),Inputs!$C$69*COS($B94)+Inputs!$B$69*ABS(SIN($B94)),Inputs!$C$70*COS($B94)+Inputs!$B$70*ABS(SIN($B94)),Inputs!$C$71*COS($B94)+Inputs!$B$71*ABS(SIN($B94)),Inputs!$C$72*COS($B94)+Inputs!$B$72*ABS(SIN($B94)))</f>
        <v>165.0392553</v>
      </c>
      <c r="D94" s="108">
        <f>IF(C94&lt;=Inputs!$B$38,1,0)</f>
        <v>1</v>
      </c>
      <c r="E94" s="29">
        <f>Inputs!$B$11*COS(($B94))-Inputs!$B$7*SIN(($B94))</f>
        <v>137.6309251</v>
      </c>
      <c r="F94" s="29">
        <f>Inputs!$B$11*SIN(($B94))+Inputs!$B$7*COS(($B94))</f>
        <v>-173.9135115</v>
      </c>
      <c r="G94" s="29">
        <f>SQRT((E94-Inputs!$B$5)^2+(F94-Inputs!$B$6)^2)</f>
        <v>296.0665816</v>
      </c>
      <c r="H94" s="29">
        <f>MAX(MAX(Inputs!$B$5,(Inputs!$B$5+(E94-Inputs!$B$5)*MIN(1,$B$16/G94)))+$B$7/2,MAX((Inputs!$B$5+(E94-Inputs!$B$5)*MIN(1,$B$16/G94)),E94)+Inputs!$B$41)</f>
        <v>291.8</v>
      </c>
      <c r="I94" s="29">
        <f>MIN(IF(OR(Inputs!$C$68=0,((((Inputs!$C$68*COS(($B94))+Inputs!$B$68*SIN(($B94)))-Inputs!$B$5)*(E94-Inputs!$B$5)+((Inputs!$C$68*SIN(($B94))-Inputs!$B$68*COS(($B94)))-Inputs!$B$6)*(F94-Inputs!$B$6))/G94)&lt;0,((((Inputs!$C$68*COS(($B94))+Inputs!$B$68*SIN(($B94)))-Inputs!$B$5)*(E94-Inputs!$B$5)+((Inputs!$C$68*SIN(($B94))-Inputs!$B$68*COS(($B94)))-Inputs!$B$6)*(F94-Inputs!$B$6))/G94)&gt;G94-Inputs!$B$40),999,(ABS((E94-Inputs!$B$5)*((Inputs!$C$68*SIN(($B94))-Inputs!$B$68*COS(($B94)))-Inputs!$B$6)-(F94-Inputs!$B$6)*((Inputs!$C$68*COS(($B94))+Inputs!$B$68*SIN(($B94)))-Inputs!$B$5))/G94)-IF(((((Inputs!$C$68*COS(($B94))+Inputs!$B$68*SIN(($B94)))-Inputs!$B$5)*(E94-Inputs!$B$5)+((Inputs!$C$68*SIN(($B94))-Inputs!$B$68*COS(($B94)))-Inputs!$B$6)*(F94-Inputs!$B$6))/G94)&lt;$B$16,$B$7/2,$B$8/2)-Inputs!$B$39),IF(OR(Inputs!$C$69=0,((((Inputs!$C$69*COS(($B94))+Inputs!$B$69*SIN(($B94)))-Inputs!$B$5)*(E94-Inputs!$B$5)+((Inputs!$C$69*SIN(($B94))-Inputs!$B$69*COS(($B94)))-Inputs!$B$6)*(F94-Inputs!$B$6))/G94)&lt;0,((((Inputs!$C$69*COS(($B94))+Inputs!$B$69*SIN(($B94)))-Inputs!$B$5)*(E94-Inputs!$B$5)+((Inputs!$C$69*SIN(($B94))-Inputs!$B$69*COS(($B94)))-Inputs!$B$6)*(F94-Inputs!$B$6))/G94)&gt;G94-Inputs!$B$40),999,(ABS((E94-Inputs!$B$5)*((Inputs!$C$69*SIN(($B94))-Inputs!$B$69*COS(($B94)))-Inputs!$B$6)-(F94-Inputs!$B$6)*((Inputs!$C$69*COS(($B94))+Inputs!$B$69*SIN(($B94)))-Inputs!$B$5))/G94)-IF(((((Inputs!$C$69*COS(($B94))+Inputs!$B$69*SIN(($B94)))-Inputs!$B$5)*(E94-Inputs!$B$5)+((Inputs!$C$69*SIN(($B94))-Inputs!$B$69*COS(($B94)))-Inputs!$B$6)*(F94-Inputs!$B$6))/G94)&lt;$B$16,$B$7/2,$B$8/2)-Inputs!$B$39),IF(OR(Inputs!$C$70=0,((((Inputs!$C$70*COS(($B94))+Inputs!$B$70*SIN(($B94)))-Inputs!$B$5)*(E94-Inputs!$B$5)+((Inputs!$C$70*SIN(($B94))-Inputs!$B$70*COS(($B94)))-Inputs!$B$6)*(F94-Inputs!$B$6))/G94)&lt;0,((((Inputs!$C$70*COS(($B94))+Inputs!$B$70*SIN(($B94)))-Inputs!$B$5)*(E94-Inputs!$B$5)+((Inputs!$C$70*SIN(($B94))-Inputs!$B$70*COS(($B94)))-Inputs!$B$6)*(F94-Inputs!$B$6))/G94)&gt;G94-Inputs!$B$40),999,(ABS((E94-Inputs!$B$5)*((Inputs!$C$70*SIN(($B94))-Inputs!$B$70*COS(($B94)))-Inputs!$B$6)-(F94-Inputs!$B$6)*((Inputs!$C$70*COS(($B94))+Inputs!$B$70*SIN(($B94)))-Inputs!$B$5))/G94)-IF(((((Inputs!$C$70*COS(($B94))+Inputs!$B$70*SIN(($B94)))-Inputs!$B$5)*(E94-Inputs!$B$5)+((Inputs!$C$70*SIN(($B94))-Inputs!$B$70*COS(($B94)))-Inputs!$B$6)*(F94-Inputs!$B$6))/G94)&lt;$B$16,$B$7/2,$B$8/2)-Inputs!$B$39),IF(OR(Inputs!$C$71=0,((((Inputs!$C$71*COS(($B94))+Inputs!$B$71*SIN(($B94)))-Inputs!$B$5)*(E94-Inputs!$B$5)+((Inputs!$C$71*SIN(($B94))-Inputs!$B$71*COS(($B94)))-Inputs!$B$6)*(F94-Inputs!$B$6))/G94)&lt;0,((((Inputs!$C$71*COS(($B94))+Inputs!$B$71*SIN(($B94)))-Inputs!$B$5)*(E94-Inputs!$B$5)+((Inputs!$C$71*SIN(($B94))-Inputs!$B$71*COS(($B94)))-Inputs!$B$6)*(F94-Inputs!$B$6))/G94)&gt;G94-Inputs!$B$40),999,(ABS((E94-Inputs!$B$5)*((Inputs!$C$71*SIN(($B94))-Inputs!$B$71*COS(($B94)))-Inputs!$B$6)-(F94-Inputs!$B$6)*((Inputs!$C$71*COS(($B94))+Inputs!$B$71*SIN(($B94)))-Inputs!$B$5))/G94)-IF(((((Inputs!$C$71*COS(($B94))+Inputs!$B$71*SIN(($B94)))-Inputs!$B$5)*(E94-Inputs!$B$5)+((Inputs!$C$71*SIN(($B94))-Inputs!$B$71*COS(($B94)))-Inputs!$B$6)*(F94-Inputs!$B$6))/G94)&lt;$B$16,$B$7/2,$B$8/2)-Inputs!$B$39),IF(OR(Inputs!$C$72=0,((((Inputs!$C$72*COS(($B94))+Inputs!$B$72*SIN(($B94)))-Inputs!$B$5)*(E94-Inputs!$B$5)+((Inputs!$C$72*SIN(($B94))-Inputs!$B$72*COS(($B94)))-Inputs!$B$6)*(F94-Inputs!$B$6))/G94)&lt;0,((((Inputs!$C$72*COS(($B94))+Inputs!$B$72*SIN(($B94)))-Inputs!$B$5)*(E94-Inputs!$B$5)+((Inputs!$C$72*SIN(($B94))-Inputs!$B$72*COS(($B94)))-Inputs!$B$6)*(F94-Inputs!$B$6))/G94)&gt;G94-Inputs!$B$40),999,(ABS((E94-Inputs!$B$5)*((Inputs!$C$72*SIN(($B94))-Inputs!$B$72*COS(($B94)))-Inputs!$B$6)-(F94-Inputs!$B$6)*((Inputs!$C$72*COS(($B94))+Inputs!$B$72*SIN(($B94)))-Inputs!$B$5))/G94)-IF(((((Inputs!$C$72*COS(($B94))+Inputs!$B$72*SIN(($B94)))-Inputs!$B$5)*(E94-Inputs!$B$5)+((Inputs!$C$72*SIN(($B94))-Inputs!$B$72*COS(($B94)))-Inputs!$B$6)*(F94-Inputs!$B$6))/G94)&lt;$B$16,$B$7/2,$B$8/2)-Inputs!$B$39))</f>
        <v>40.88491558</v>
      </c>
      <c r="J94" s="76">
        <f>IF(AND(G94&gt;=$B$14,G94&lt;=$B$15,H94&lt;=Inputs!$B$38,I94&gt;=0,$D94=1),1,0)</f>
        <v>0</v>
      </c>
      <c r="K94" s="29">
        <f>Inputs!$B$11*COS((-$B94))-Inputs!$B$7*SIN((-$B94))</f>
        <v>49.35195113</v>
      </c>
      <c r="L94" s="29">
        <f>Inputs!$B$11*SIN((-$B94))+Inputs!$B$7*COS((-$B94))</f>
        <v>-216.2234167</v>
      </c>
      <c r="M94" s="29">
        <f>SQRT((K94-Inputs!$B$5)^2+(L94-Inputs!$B$6)^2)</f>
        <v>374.5088635</v>
      </c>
      <c r="N94" s="29">
        <f>MAX(MAX(Inputs!$B$5,(Inputs!$B$5+(K94-Inputs!$B$5)*MIN(1,$B$16/M94)))+$B$7/2,MAX((Inputs!$B$5+(K94-Inputs!$B$5)*MIN(1,$B$16/M94)),K94)+Inputs!$B$41)</f>
        <v>291.8</v>
      </c>
      <c r="O94" s="29">
        <f>MIN(IF(OR(Inputs!$C$68=0,((((Inputs!$C$68*COS((-$B94))+Inputs!$B$68*SIN((-$B94)))-Inputs!$B$5)*(K94-Inputs!$B$5)+((Inputs!$C$68*SIN((-$B94))-Inputs!$B$68*COS((-$B94)))-Inputs!$B$6)*(L94-Inputs!$B$6))/M94)&lt;0,((((Inputs!$C$68*COS((-$B94))+Inputs!$B$68*SIN((-$B94)))-Inputs!$B$5)*(K94-Inputs!$B$5)+((Inputs!$C$68*SIN((-$B94))-Inputs!$B$68*COS((-$B94)))-Inputs!$B$6)*(L94-Inputs!$B$6))/M94)&gt;M94-Inputs!$B$40),999,(ABS((K94-Inputs!$B$5)*((Inputs!$C$68*SIN((-$B94))-Inputs!$B$68*COS((-$B94)))-Inputs!$B$6)-(L94-Inputs!$B$6)*((Inputs!$C$68*COS((-$B94))+Inputs!$B$68*SIN((-$B94)))-Inputs!$B$5))/M94)-IF(((((Inputs!$C$68*COS((-$B94))+Inputs!$B$68*SIN((-$B94)))-Inputs!$B$5)*(K94-Inputs!$B$5)+((Inputs!$C$68*SIN((-$B94))-Inputs!$B$68*COS((-$B94)))-Inputs!$B$6)*(L94-Inputs!$B$6))/M94)&lt;$B$16,$B$7/2,$B$8/2)-Inputs!$B$39),IF(OR(Inputs!$C$69=0,((((Inputs!$C$69*COS((-$B94))+Inputs!$B$69*SIN((-$B94)))-Inputs!$B$5)*(K94-Inputs!$B$5)+((Inputs!$C$69*SIN((-$B94))-Inputs!$B$69*COS((-$B94)))-Inputs!$B$6)*(L94-Inputs!$B$6))/M94)&lt;0,((((Inputs!$C$69*COS((-$B94))+Inputs!$B$69*SIN((-$B94)))-Inputs!$B$5)*(K94-Inputs!$B$5)+((Inputs!$C$69*SIN((-$B94))-Inputs!$B$69*COS((-$B94)))-Inputs!$B$6)*(L94-Inputs!$B$6))/M94)&gt;M94-Inputs!$B$40),999,(ABS((K94-Inputs!$B$5)*((Inputs!$C$69*SIN((-$B94))-Inputs!$B$69*COS((-$B94)))-Inputs!$B$6)-(L94-Inputs!$B$6)*((Inputs!$C$69*COS((-$B94))+Inputs!$B$69*SIN((-$B94)))-Inputs!$B$5))/M94)-IF(((((Inputs!$C$69*COS((-$B94))+Inputs!$B$69*SIN((-$B94)))-Inputs!$B$5)*(K94-Inputs!$B$5)+((Inputs!$C$69*SIN((-$B94))-Inputs!$B$69*COS((-$B94)))-Inputs!$B$6)*(L94-Inputs!$B$6))/M94)&lt;$B$16,$B$7/2,$B$8/2)-Inputs!$B$39),IF(OR(Inputs!$C$70=0,((((Inputs!$C$70*COS((-$B94))+Inputs!$B$70*SIN((-$B94)))-Inputs!$B$5)*(K94-Inputs!$B$5)+((Inputs!$C$70*SIN((-$B94))-Inputs!$B$70*COS((-$B94)))-Inputs!$B$6)*(L94-Inputs!$B$6))/M94)&lt;0,((((Inputs!$C$70*COS((-$B94))+Inputs!$B$70*SIN((-$B94)))-Inputs!$B$5)*(K94-Inputs!$B$5)+((Inputs!$C$70*SIN((-$B94))-Inputs!$B$70*COS((-$B94)))-Inputs!$B$6)*(L94-Inputs!$B$6))/M94)&gt;M94-Inputs!$B$40),999,(ABS((K94-Inputs!$B$5)*((Inputs!$C$70*SIN((-$B94))-Inputs!$B$70*COS((-$B94)))-Inputs!$B$6)-(L94-Inputs!$B$6)*((Inputs!$C$70*COS((-$B94))+Inputs!$B$70*SIN((-$B94)))-Inputs!$B$5))/M94)-IF(((((Inputs!$C$70*COS((-$B94))+Inputs!$B$70*SIN((-$B94)))-Inputs!$B$5)*(K94-Inputs!$B$5)+((Inputs!$C$70*SIN((-$B94))-Inputs!$B$70*COS((-$B94)))-Inputs!$B$6)*(L94-Inputs!$B$6))/M94)&lt;$B$16,$B$7/2,$B$8/2)-Inputs!$B$39),IF(OR(Inputs!$C$71=0,((((Inputs!$C$71*COS((-$B94))+Inputs!$B$71*SIN((-$B94)))-Inputs!$B$5)*(K94-Inputs!$B$5)+((Inputs!$C$71*SIN((-$B94))-Inputs!$B$71*COS((-$B94)))-Inputs!$B$6)*(L94-Inputs!$B$6))/M94)&lt;0,((((Inputs!$C$71*COS((-$B94))+Inputs!$B$71*SIN((-$B94)))-Inputs!$B$5)*(K94-Inputs!$B$5)+((Inputs!$C$71*SIN((-$B94))-Inputs!$B$71*COS((-$B94)))-Inputs!$B$6)*(L94-Inputs!$B$6))/M94)&gt;M94-Inputs!$B$40),999,(ABS((K94-Inputs!$B$5)*((Inputs!$C$71*SIN((-$B94))-Inputs!$B$71*COS((-$B94)))-Inputs!$B$6)-(L94-Inputs!$B$6)*((Inputs!$C$71*COS((-$B94))+Inputs!$B$71*SIN((-$B94)))-Inputs!$B$5))/M94)-IF(((((Inputs!$C$71*COS((-$B94))+Inputs!$B$71*SIN((-$B94)))-Inputs!$B$5)*(K94-Inputs!$B$5)+((Inputs!$C$71*SIN((-$B94))-Inputs!$B$71*COS((-$B94)))-Inputs!$B$6)*(L94-Inputs!$B$6))/M94)&lt;$B$16,$B$7/2,$B$8/2)-Inputs!$B$39),IF(OR(Inputs!$C$72=0,((((Inputs!$C$72*COS((-$B94))+Inputs!$B$72*SIN((-$B94)))-Inputs!$B$5)*(K94-Inputs!$B$5)+((Inputs!$C$72*SIN((-$B94))-Inputs!$B$72*COS((-$B94)))-Inputs!$B$6)*(L94-Inputs!$B$6))/M94)&lt;0,((((Inputs!$C$72*COS((-$B94))+Inputs!$B$72*SIN((-$B94)))-Inputs!$B$5)*(K94-Inputs!$B$5)+((Inputs!$C$72*SIN((-$B94))-Inputs!$B$72*COS((-$B94)))-Inputs!$B$6)*(L94-Inputs!$B$6))/M94)&gt;M94-Inputs!$B$40),999,(ABS((K94-Inputs!$B$5)*((Inputs!$C$72*SIN((-$B94))-Inputs!$B$72*COS((-$B94)))-Inputs!$B$6)-(L94-Inputs!$B$6)*((Inputs!$C$72*COS((-$B94))+Inputs!$B$72*SIN((-$B94)))-Inputs!$B$5))/M94)-IF(((((Inputs!$C$72*COS((-$B94))+Inputs!$B$72*SIN((-$B94)))-Inputs!$B$5)*(K94-Inputs!$B$5)+((Inputs!$C$72*SIN((-$B94))-Inputs!$B$72*COS((-$B94)))-Inputs!$B$6)*(L94-Inputs!$B$6))/M94)&lt;$B$16,$B$7/2,$B$8/2)-Inputs!$B$39))</f>
        <v>8.818505023</v>
      </c>
      <c r="P94" s="76">
        <f>IF(AND(M94&gt;=$B$14,M94&lt;=$B$15,N94&lt;=Inputs!$B$38,O94&gt;=0,$D94=1),1,0)</f>
        <v>0</v>
      </c>
    </row>
    <row r="95" ht="15.75" customHeight="1">
      <c r="A95" s="23">
        <v>13.0</v>
      </c>
      <c r="B95" s="40">
        <f t="shared" si="4"/>
        <v>0.2268928028</v>
      </c>
      <c r="C95" s="29">
        <f>MAX(Inputs!$C$68*COS($B95)+Inputs!$B$68*ABS(SIN($B95)),Inputs!$C$69*COS($B95)+Inputs!$B$69*ABS(SIN($B95)),Inputs!$C$70*COS($B95)+Inputs!$B$70*ABS(SIN($B95)),Inputs!$C$71*COS($B95)+Inputs!$B$71*ABS(SIN($B95)),Inputs!$C$72*COS($B95)+Inputs!$B$72*ABS(SIN($B95)))</f>
        <v>166.6582716</v>
      </c>
      <c r="D95" s="108">
        <f>IF(C95&lt;=Inputs!$B$38,1,0)</f>
        <v>1</v>
      </c>
      <c r="E95" s="29">
        <f>Inputs!$B$11*COS(($B95))-Inputs!$B$7*SIN(($B95))</f>
        <v>138.3884534</v>
      </c>
      <c r="F95" s="29">
        <f>Inputs!$B$11*SIN(($B95))+Inputs!$B$7*COS(($B95))</f>
        <v>-173.3113296</v>
      </c>
      <c r="G95" s="29">
        <f>SQRT((E95-Inputs!$B$5)^2+(F95-Inputs!$B$6)^2)</f>
        <v>295.2223234</v>
      </c>
      <c r="H95" s="29">
        <f>MAX(MAX(Inputs!$B$5,(Inputs!$B$5+(E95-Inputs!$B$5)*MIN(1,$B$16/G95)))+$B$7/2,MAX((Inputs!$B$5+(E95-Inputs!$B$5)*MIN(1,$B$16/G95)),E95)+Inputs!$B$41)</f>
        <v>291.8</v>
      </c>
      <c r="I95" s="29">
        <f>MIN(IF(OR(Inputs!$C$68=0,((((Inputs!$C$68*COS(($B95))+Inputs!$B$68*SIN(($B95)))-Inputs!$B$5)*(E95-Inputs!$B$5)+((Inputs!$C$68*SIN(($B95))-Inputs!$B$68*COS(($B95)))-Inputs!$B$6)*(F95-Inputs!$B$6))/G95)&lt;0,((((Inputs!$C$68*COS(($B95))+Inputs!$B$68*SIN(($B95)))-Inputs!$B$5)*(E95-Inputs!$B$5)+((Inputs!$C$68*SIN(($B95))-Inputs!$B$68*COS(($B95)))-Inputs!$B$6)*(F95-Inputs!$B$6))/G95)&gt;G95-Inputs!$B$40),999,(ABS((E95-Inputs!$B$5)*((Inputs!$C$68*SIN(($B95))-Inputs!$B$68*COS(($B95)))-Inputs!$B$6)-(F95-Inputs!$B$6)*((Inputs!$C$68*COS(($B95))+Inputs!$B$68*SIN(($B95)))-Inputs!$B$5))/G95)-IF(((((Inputs!$C$68*COS(($B95))+Inputs!$B$68*SIN(($B95)))-Inputs!$B$5)*(E95-Inputs!$B$5)+((Inputs!$C$68*SIN(($B95))-Inputs!$B$68*COS(($B95)))-Inputs!$B$6)*(F95-Inputs!$B$6))/G95)&lt;$B$16,$B$7/2,$B$8/2)-Inputs!$B$39),IF(OR(Inputs!$C$69=0,((((Inputs!$C$69*COS(($B95))+Inputs!$B$69*SIN(($B95)))-Inputs!$B$5)*(E95-Inputs!$B$5)+((Inputs!$C$69*SIN(($B95))-Inputs!$B$69*COS(($B95)))-Inputs!$B$6)*(F95-Inputs!$B$6))/G95)&lt;0,((((Inputs!$C$69*COS(($B95))+Inputs!$B$69*SIN(($B95)))-Inputs!$B$5)*(E95-Inputs!$B$5)+((Inputs!$C$69*SIN(($B95))-Inputs!$B$69*COS(($B95)))-Inputs!$B$6)*(F95-Inputs!$B$6))/G95)&gt;G95-Inputs!$B$40),999,(ABS((E95-Inputs!$B$5)*((Inputs!$C$69*SIN(($B95))-Inputs!$B$69*COS(($B95)))-Inputs!$B$6)-(F95-Inputs!$B$6)*((Inputs!$C$69*COS(($B95))+Inputs!$B$69*SIN(($B95)))-Inputs!$B$5))/G95)-IF(((((Inputs!$C$69*COS(($B95))+Inputs!$B$69*SIN(($B95)))-Inputs!$B$5)*(E95-Inputs!$B$5)+((Inputs!$C$69*SIN(($B95))-Inputs!$B$69*COS(($B95)))-Inputs!$B$6)*(F95-Inputs!$B$6))/G95)&lt;$B$16,$B$7/2,$B$8/2)-Inputs!$B$39),IF(OR(Inputs!$C$70=0,((((Inputs!$C$70*COS(($B95))+Inputs!$B$70*SIN(($B95)))-Inputs!$B$5)*(E95-Inputs!$B$5)+((Inputs!$C$70*SIN(($B95))-Inputs!$B$70*COS(($B95)))-Inputs!$B$6)*(F95-Inputs!$B$6))/G95)&lt;0,((((Inputs!$C$70*COS(($B95))+Inputs!$B$70*SIN(($B95)))-Inputs!$B$5)*(E95-Inputs!$B$5)+((Inputs!$C$70*SIN(($B95))-Inputs!$B$70*COS(($B95)))-Inputs!$B$6)*(F95-Inputs!$B$6))/G95)&gt;G95-Inputs!$B$40),999,(ABS((E95-Inputs!$B$5)*((Inputs!$C$70*SIN(($B95))-Inputs!$B$70*COS(($B95)))-Inputs!$B$6)-(F95-Inputs!$B$6)*((Inputs!$C$70*COS(($B95))+Inputs!$B$70*SIN(($B95)))-Inputs!$B$5))/G95)-IF(((((Inputs!$C$70*COS(($B95))+Inputs!$B$70*SIN(($B95)))-Inputs!$B$5)*(E95-Inputs!$B$5)+((Inputs!$C$70*SIN(($B95))-Inputs!$B$70*COS(($B95)))-Inputs!$B$6)*(F95-Inputs!$B$6))/G95)&lt;$B$16,$B$7/2,$B$8/2)-Inputs!$B$39),IF(OR(Inputs!$C$71=0,((((Inputs!$C$71*COS(($B95))+Inputs!$B$71*SIN(($B95)))-Inputs!$B$5)*(E95-Inputs!$B$5)+((Inputs!$C$71*SIN(($B95))-Inputs!$B$71*COS(($B95)))-Inputs!$B$6)*(F95-Inputs!$B$6))/G95)&lt;0,((((Inputs!$C$71*COS(($B95))+Inputs!$B$71*SIN(($B95)))-Inputs!$B$5)*(E95-Inputs!$B$5)+((Inputs!$C$71*SIN(($B95))-Inputs!$B$71*COS(($B95)))-Inputs!$B$6)*(F95-Inputs!$B$6))/G95)&gt;G95-Inputs!$B$40),999,(ABS((E95-Inputs!$B$5)*((Inputs!$C$71*SIN(($B95))-Inputs!$B$71*COS(($B95)))-Inputs!$B$6)-(F95-Inputs!$B$6)*((Inputs!$C$71*COS(($B95))+Inputs!$B$71*SIN(($B95)))-Inputs!$B$5))/G95)-IF(((((Inputs!$C$71*COS(($B95))+Inputs!$B$71*SIN(($B95)))-Inputs!$B$5)*(E95-Inputs!$B$5)+((Inputs!$C$71*SIN(($B95))-Inputs!$B$71*COS(($B95)))-Inputs!$B$6)*(F95-Inputs!$B$6))/G95)&lt;$B$16,$B$7/2,$B$8/2)-Inputs!$B$39),IF(OR(Inputs!$C$72=0,((((Inputs!$C$72*COS(($B95))+Inputs!$B$72*SIN(($B95)))-Inputs!$B$5)*(E95-Inputs!$B$5)+((Inputs!$C$72*SIN(($B95))-Inputs!$B$72*COS(($B95)))-Inputs!$B$6)*(F95-Inputs!$B$6))/G95)&lt;0,((((Inputs!$C$72*COS(($B95))+Inputs!$B$72*SIN(($B95)))-Inputs!$B$5)*(E95-Inputs!$B$5)+((Inputs!$C$72*SIN(($B95))-Inputs!$B$72*COS(($B95)))-Inputs!$B$6)*(F95-Inputs!$B$6))/G95)&gt;G95-Inputs!$B$40),999,(ABS((E95-Inputs!$B$5)*((Inputs!$C$72*SIN(($B95))-Inputs!$B$72*COS(($B95)))-Inputs!$B$6)-(F95-Inputs!$B$6)*((Inputs!$C$72*COS(($B95))+Inputs!$B$72*SIN(($B95)))-Inputs!$B$5))/G95)-IF(((((Inputs!$C$72*COS(($B95))+Inputs!$B$72*SIN(($B95)))-Inputs!$B$5)*(E95-Inputs!$B$5)+((Inputs!$C$72*SIN(($B95))-Inputs!$B$72*COS(($B95)))-Inputs!$B$6)*(F95-Inputs!$B$6))/G95)&lt;$B$16,$B$7/2,$B$8/2)-Inputs!$B$39))</f>
        <v>41.07291607</v>
      </c>
      <c r="J95" s="76">
        <f>IF(AND(G95&gt;=$B$14,G95&lt;=$B$15,H95&lt;=Inputs!$B$38,I95&gt;=0,$D95=1),1,0)</f>
        <v>0</v>
      </c>
      <c r="K95" s="29">
        <f>Inputs!$B$11*COS((-$B95))-Inputs!$B$7*SIN((-$B95))</f>
        <v>48.40803169</v>
      </c>
      <c r="L95" s="29">
        <f>Inputs!$B$11*SIN((-$B95))+Inputs!$B$7*COS((-$B95))</f>
        <v>-216.4366963</v>
      </c>
      <c r="M95" s="29">
        <f>SQRT((K95-Inputs!$B$5)^2+(L95-Inputs!$B$6)^2)</f>
        <v>375.1952884</v>
      </c>
      <c r="N95" s="29">
        <f>MAX(MAX(Inputs!$B$5,(Inputs!$B$5+(K95-Inputs!$B$5)*MIN(1,$B$16/M95)))+$B$7/2,MAX((Inputs!$B$5+(K95-Inputs!$B$5)*MIN(1,$B$16/M95)),K95)+Inputs!$B$41)</f>
        <v>291.8</v>
      </c>
      <c r="O95" s="29">
        <f>MIN(IF(OR(Inputs!$C$68=0,((((Inputs!$C$68*COS((-$B95))+Inputs!$B$68*SIN((-$B95)))-Inputs!$B$5)*(K95-Inputs!$B$5)+((Inputs!$C$68*SIN((-$B95))-Inputs!$B$68*COS((-$B95)))-Inputs!$B$6)*(L95-Inputs!$B$6))/M95)&lt;0,((((Inputs!$C$68*COS((-$B95))+Inputs!$B$68*SIN((-$B95)))-Inputs!$B$5)*(K95-Inputs!$B$5)+((Inputs!$C$68*SIN((-$B95))-Inputs!$B$68*COS((-$B95)))-Inputs!$B$6)*(L95-Inputs!$B$6))/M95)&gt;M95-Inputs!$B$40),999,(ABS((K95-Inputs!$B$5)*((Inputs!$C$68*SIN((-$B95))-Inputs!$B$68*COS((-$B95)))-Inputs!$B$6)-(L95-Inputs!$B$6)*((Inputs!$C$68*COS((-$B95))+Inputs!$B$68*SIN((-$B95)))-Inputs!$B$5))/M95)-IF(((((Inputs!$C$68*COS((-$B95))+Inputs!$B$68*SIN((-$B95)))-Inputs!$B$5)*(K95-Inputs!$B$5)+((Inputs!$C$68*SIN((-$B95))-Inputs!$B$68*COS((-$B95)))-Inputs!$B$6)*(L95-Inputs!$B$6))/M95)&lt;$B$16,$B$7/2,$B$8/2)-Inputs!$B$39),IF(OR(Inputs!$C$69=0,((((Inputs!$C$69*COS((-$B95))+Inputs!$B$69*SIN((-$B95)))-Inputs!$B$5)*(K95-Inputs!$B$5)+((Inputs!$C$69*SIN((-$B95))-Inputs!$B$69*COS((-$B95)))-Inputs!$B$6)*(L95-Inputs!$B$6))/M95)&lt;0,((((Inputs!$C$69*COS((-$B95))+Inputs!$B$69*SIN((-$B95)))-Inputs!$B$5)*(K95-Inputs!$B$5)+((Inputs!$C$69*SIN((-$B95))-Inputs!$B$69*COS((-$B95)))-Inputs!$B$6)*(L95-Inputs!$B$6))/M95)&gt;M95-Inputs!$B$40),999,(ABS((K95-Inputs!$B$5)*((Inputs!$C$69*SIN((-$B95))-Inputs!$B$69*COS((-$B95)))-Inputs!$B$6)-(L95-Inputs!$B$6)*((Inputs!$C$69*COS((-$B95))+Inputs!$B$69*SIN((-$B95)))-Inputs!$B$5))/M95)-IF(((((Inputs!$C$69*COS((-$B95))+Inputs!$B$69*SIN((-$B95)))-Inputs!$B$5)*(K95-Inputs!$B$5)+((Inputs!$C$69*SIN((-$B95))-Inputs!$B$69*COS((-$B95)))-Inputs!$B$6)*(L95-Inputs!$B$6))/M95)&lt;$B$16,$B$7/2,$B$8/2)-Inputs!$B$39),IF(OR(Inputs!$C$70=0,((((Inputs!$C$70*COS((-$B95))+Inputs!$B$70*SIN((-$B95)))-Inputs!$B$5)*(K95-Inputs!$B$5)+((Inputs!$C$70*SIN((-$B95))-Inputs!$B$70*COS((-$B95)))-Inputs!$B$6)*(L95-Inputs!$B$6))/M95)&lt;0,((((Inputs!$C$70*COS((-$B95))+Inputs!$B$70*SIN((-$B95)))-Inputs!$B$5)*(K95-Inputs!$B$5)+((Inputs!$C$70*SIN((-$B95))-Inputs!$B$70*COS((-$B95)))-Inputs!$B$6)*(L95-Inputs!$B$6))/M95)&gt;M95-Inputs!$B$40),999,(ABS((K95-Inputs!$B$5)*((Inputs!$C$70*SIN((-$B95))-Inputs!$B$70*COS((-$B95)))-Inputs!$B$6)-(L95-Inputs!$B$6)*((Inputs!$C$70*COS((-$B95))+Inputs!$B$70*SIN((-$B95)))-Inputs!$B$5))/M95)-IF(((((Inputs!$C$70*COS((-$B95))+Inputs!$B$70*SIN((-$B95)))-Inputs!$B$5)*(K95-Inputs!$B$5)+((Inputs!$C$70*SIN((-$B95))-Inputs!$B$70*COS((-$B95)))-Inputs!$B$6)*(L95-Inputs!$B$6))/M95)&lt;$B$16,$B$7/2,$B$8/2)-Inputs!$B$39),IF(OR(Inputs!$C$71=0,((((Inputs!$C$71*COS((-$B95))+Inputs!$B$71*SIN((-$B95)))-Inputs!$B$5)*(K95-Inputs!$B$5)+((Inputs!$C$71*SIN((-$B95))-Inputs!$B$71*COS((-$B95)))-Inputs!$B$6)*(L95-Inputs!$B$6))/M95)&lt;0,((((Inputs!$C$71*COS((-$B95))+Inputs!$B$71*SIN((-$B95)))-Inputs!$B$5)*(K95-Inputs!$B$5)+((Inputs!$C$71*SIN((-$B95))-Inputs!$B$71*COS((-$B95)))-Inputs!$B$6)*(L95-Inputs!$B$6))/M95)&gt;M95-Inputs!$B$40),999,(ABS((K95-Inputs!$B$5)*((Inputs!$C$71*SIN((-$B95))-Inputs!$B$71*COS((-$B95)))-Inputs!$B$6)-(L95-Inputs!$B$6)*((Inputs!$C$71*COS((-$B95))+Inputs!$B$71*SIN((-$B95)))-Inputs!$B$5))/M95)-IF(((((Inputs!$C$71*COS((-$B95))+Inputs!$B$71*SIN((-$B95)))-Inputs!$B$5)*(K95-Inputs!$B$5)+((Inputs!$C$71*SIN((-$B95))-Inputs!$B$71*COS((-$B95)))-Inputs!$B$6)*(L95-Inputs!$B$6))/M95)&lt;$B$16,$B$7/2,$B$8/2)-Inputs!$B$39),IF(OR(Inputs!$C$72=0,((((Inputs!$C$72*COS((-$B95))+Inputs!$B$72*SIN((-$B95)))-Inputs!$B$5)*(K95-Inputs!$B$5)+((Inputs!$C$72*SIN((-$B95))-Inputs!$B$72*COS((-$B95)))-Inputs!$B$6)*(L95-Inputs!$B$6))/M95)&lt;0,((((Inputs!$C$72*COS((-$B95))+Inputs!$B$72*SIN((-$B95)))-Inputs!$B$5)*(K95-Inputs!$B$5)+((Inputs!$C$72*SIN((-$B95))-Inputs!$B$72*COS((-$B95)))-Inputs!$B$6)*(L95-Inputs!$B$6))/M95)&gt;M95-Inputs!$B$40),999,(ABS((K95-Inputs!$B$5)*((Inputs!$C$72*SIN((-$B95))-Inputs!$B$72*COS((-$B95)))-Inputs!$B$6)-(L95-Inputs!$B$6)*((Inputs!$C$72*COS((-$B95))+Inputs!$B$72*SIN((-$B95)))-Inputs!$B$5))/M95)-IF(((((Inputs!$C$72*COS((-$B95))+Inputs!$B$72*SIN((-$B95)))-Inputs!$B$5)*(K95-Inputs!$B$5)+((Inputs!$C$72*SIN((-$B95))-Inputs!$B$72*COS((-$B95)))-Inputs!$B$6)*(L95-Inputs!$B$6))/M95)&lt;$B$16,$B$7/2,$B$8/2)-Inputs!$B$39))</f>
        <v>8.488903541</v>
      </c>
      <c r="P95" s="76">
        <f>IF(AND(M95&gt;=$B$14,M95&lt;=$B$15,N95&lt;=Inputs!$B$38,O95&gt;=0,$D95=1),1,0)</f>
        <v>0</v>
      </c>
    </row>
    <row r="96" ht="15.75" customHeight="1">
      <c r="A96" s="23">
        <v>13.25</v>
      </c>
      <c r="B96" s="40">
        <f t="shared" si="4"/>
        <v>0.2312561259</v>
      </c>
      <c r="C96" s="29">
        <f>MAX(Inputs!$C$68*COS($B96)+Inputs!$B$68*ABS(SIN($B96)),Inputs!$C$69*COS($B96)+Inputs!$B$69*ABS(SIN($B96)),Inputs!$C$70*COS($B96)+Inputs!$B$70*ABS(SIN($B96)),Inputs!$C$71*COS($B96)+Inputs!$B$71*ABS(SIN($B96)),Inputs!$C$72*COS($B96)+Inputs!$B$72*ABS(SIN($B96)))</f>
        <v>168.2741149</v>
      </c>
      <c r="D96" s="108">
        <f>IF(C96&lt;=Inputs!$B$38,1,0)</f>
        <v>1</v>
      </c>
      <c r="E96" s="29">
        <f>Inputs!$B$11*COS(($B96))-Inputs!$B$7*SIN(($B96))</f>
        <v>139.143347</v>
      </c>
      <c r="F96" s="29">
        <f>Inputs!$B$11*SIN(($B96))+Inputs!$B$7*COS(($B96))</f>
        <v>-172.7058482</v>
      </c>
      <c r="G96" s="29">
        <f>SQRT((E96-Inputs!$B$5)^2+(F96-Inputs!$B$6)^2)</f>
        <v>294.3767606</v>
      </c>
      <c r="H96" s="29">
        <f>MAX(MAX(Inputs!$B$5,(Inputs!$B$5+(E96-Inputs!$B$5)*MIN(1,$B$16/G96)))+$B$7/2,MAX((Inputs!$B$5+(E96-Inputs!$B$5)*MIN(1,$B$16/G96)),E96)+Inputs!$B$41)</f>
        <v>291.8</v>
      </c>
      <c r="I96" s="29">
        <f>MIN(IF(OR(Inputs!$C$68=0,((((Inputs!$C$68*COS(($B96))+Inputs!$B$68*SIN(($B96)))-Inputs!$B$5)*(E96-Inputs!$B$5)+((Inputs!$C$68*SIN(($B96))-Inputs!$B$68*COS(($B96)))-Inputs!$B$6)*(F96-Inputs!$B$6))/G96)&lt;0,((((Inputs!$C$68*COS(($B96))+Inputs!$B$68*SIN(($B96)))-Inputs!$B$5)*(E96-Inputs!$B$5)+((Inputs!$C$68*SIN(($B96))-Inputs!$B$68*COS(($B96)))-Inputs!$B$6)*(F96-Inputs!$B$6))/G96)&gt;G96-Inputs!$B$40),999,(ABS((E96-Inputs!$B$5)*((Inputs!$C$68*SIN(($B96))-Inputs!$B$68*COS(($B96)))-Inputs!$B$6)-(F96-Inputs!$B$6)*((Inputs!$C$68*COS(($B96))+Inputs!$B$68*SIN(($B96)))-Inputs!$B$5))/G96)-IF(((((Inputs!$C$68*COS(($B96))+Inputs!$B$68*SIN(($B96)))-Inputs!$B$5)*(E96-Inputs!$B$5)+((Inputs!$C$68*SIN(($B96))-Inputs!$B$68*COS(($B96)))-Inputs!$B$6)*(F96-Inputs!$B$6))/G96)&lt;$B$16,$B$7/2,$B$8/2)-Inputs!$B$39),IF(OR(Inputs!$C$69=0,((((Inputs!$C$69*COS(($B96))+Inputs!$B$69*SIN(($B96)))-Inputs!$B$5)*(E96-Inputs!$B$5)+((Inputs!$C$69*SIN(($B96))-Inputs!$B$69*COS(($B96)))-Inputs!$B$6)*(F96-Inputs!$B$6))/G96)&lt;0,((((Inputs!$C$69*COS(($B96))+Inputs!$B$69*SIN(($B96)))-Inputs!$B$5)*(E96-Inputs!$B$5)+((Inputs!$C$69*SIN(($B96))-Inputs!$B$69*COS(($B96)))-Inputs!$B$6)*(F96-Inputs!$B$6))/G96)&gt;G96-Inputs!$B$40),999,(ABS((E96-Inputs!$B$5)*((Inputs!$C$69*SIN(($B96))-Inputs!$B$69*COS(($B96)))-Inputs!$B$6)-(F96-Inputs!$B$6)*((Inputs!$C$69*COS(($B96))+Inputs!$B$69*SIN(($B96)))-Inputs!$B$5))/G96)-IF(((((Inputs!$C$69*COS(($B96))+Inputs!$B$69*SIN(($B96)))-Inputs!$B$5)*(E96-Inputs!$B$5)+((Inputs!$C$69*SIN(($B96))-Inputs!$B$69*COS(($B96)))-Inputs!$B$6)*(F96-Inputs!$B$6))/G96)&lt;$B$16,$B$7/2,$B$8/2)-Inputs!$B$39),IF(OR(Inputs!$C$70=0,((((Inputs!$C$70*COS(($B96))+Inputs!$B$70*SIN(($B96)))-Inputs!$B$5)*(E96-Inputs!$B$5)+((Inputs!$C$70*SIN(($B96))-Inputs!$B$70*COS(($B96)))-Inputs!$B$6)*(F96-Inputs!$B$6))/G96)&lt;0,((((Inputs!$C$70*COS(($B96))+Inputs!$B$70*SIN(($B96)))-Inputs!$B$5)*(E96-Inputs!$B$5)+((Inputs!$C$70*SIN(($B96))-Inputs!$B$70*COS(($B96)))-Inputs!$B$6)*(F96-Inputs!$B$6))/G96)&gt;G96-Inputs!$B$40),999,(ABS((E96-Inputs!$B$5)*((Inputs!$C$70*SIN(($B96))-Inputs!$B$70*COS(($B96)))-Inputs!$B$6)-(F96-Inputs!$B$6)*((Inputs!$C$70*COS(($B96))+Inputs!$B$70*SIN(($B96)))-Inputs!$B$5))/G96)-IF(((((Inputs!$C$70*COS(($B96))+Inputs!$B$70*SIN(($B96)))-Inputs!$B$5)*(E96-Inputs!$B$5)+((Inputs!$C$70*SIN(($B96))-Inputs!$B$70*COS(($B96)))-Inputs!$B$6)*(F96-Inputs!$B$6))/G96)&lt;$B$16,$B$7/2,$B$8/2)-Inputs!$B$39),IF(OR(Inputs!$C$71=0,((((Inputs!$C$71*COS(($B96))+Inputs!$B$71*SIN(($B96)))-Inputs!$B$5)*(E96-Inputs!$B$5)+((Inputs!$C$71*SIN(($B96))-Inputs!$B$71*COS(($B96)))-Inputs!$B$6)*(F96-Inputs!$B$6))/G96)&lt;0,((((Inputs!$C$71*COS(($B96))+Inputs!$B$71*SIN(($B96)))-Inputs!$B$5)*(E96-Inputs!$B$5)+((Inputs!$C$71*SIN(($B96))-Inputs!$B$71*COS(($B96)))-Inputs!$B$6)*(F96-Inputs!$B$6))/G96)&gt;G96-Inputs!$B$40),999,(ABS((E96-Inputs!$B$5)*((Inputs!$C$71*SIN(($B96))-Inputs!$B$71*COS(($B96)))-Inputs!$B$6)-(F96-Inputs!$B$6)*((Inputs!$C$71*COS(($B96))+Inputs!$B$71*SIN(($B96)))-Inputs!$B$5))/G96)-IF(((((Inputs!$C$71*COS(($B96))+Inputs!$B$71*SIN(($B96)))-Inputs!$B$5)*(E96-Inputs!$B$5)+((Inputs!$C$71*SIN(($B96))-Inputs!$B$71*COS(($B96)))-Inputs!$B$6)*(F96-Inputs!$B$6))/G96)&lt;$B$16,$B$7/2,$B$8/2)-Inputs!$B$39),IF(OR(Inputs!$C$72=0,((((Inputs!$C$72*COS(($B96))+Inputs!$B$72*SIN(($B96)))-Inputs!$B$5)*(E96-Inputs!$B$5)+((Inputs!$C$72*SIN(($B96))-Inputs!$B$72*COS(($B96)))-Inputs!$B$6)*(F96-Inputs!$B$6))/G96)&lt;0,((((Inputs!$C$72*COS(($B96))+Inputs!$B$72*SIN(($B96)))-Inputs!$B$5)*(E96-Inputs!$B$5)+((Inputs!$C$72*SIN(($B96))-Inputs!$B$72*COS(($B96)))-Inputs!$B$6)*(F96-Inputs!$B$6))/G96)&gt;G96-Inputs!$B$40),999,(ABS((E96-Inputs!$B$5)*((Inputs!$C$72*SIN(($B96))-Inputs!$B$72*COS(($B96)))-Inputs!$B$6)-(F96-Inputs!$B$6)*((Inputs!$C$72*COS(($B96))+Inputs!$B$72*SIN(($B96)))-Inputs!$B$5))/G96)-IF(((((Inputs!$C$72*COS(($B96))+Inputs!$B$72*SIN(($B96)))-Inputs!$B$5)*(E96-Inputs!$B$5)+((Inputs!$C$72*SIN(($B96))-Inputs!$B$72*COS(($B96)))-Inputs!$B$6)*(F96-Inputs!$B$6))/G96)&lt;$B$16,$B$7/2,$B$8/2)-Inputs!$B$39))</f>
        <v>41.26048678</v>
      </c>
      <c r="J96" s="76">
        <f>IF(AND(G96&gt;=$B$14,G96&lt;=$B$15,H96&lt;=Inputs!$B$38,I96&gt;=0,$D96=1),1,0)</f>
        <v>0</v>
      </c>
      <c r="K96" s="29">
        <f>Inputs!$B$11*COS((-$B96))-Inputs!$B$7*SIN((-$B96))</f>
        <v>47.46319064</v>
      </c>
      <c r="L96" s="29">
        <f>Inputs!$B$11*SIN((-$B96))+Inputs!$B$7*COS((-$B96))</f>
        <v>-216.6458552</v>
      </c>
      <c r="M96" s="29">
        <f>SQRT((K96-Inputs!$B$5)^2+(L96-Inputs!$B$6)^2)</f>
        <v>375.8799765</v>
      </c>
      <c r="N96" s="29">
        <f>MAX(MAX(Inputs!$B$5,(Inputs!$B$5+(K96-Inputs!$B$5)*MIN(1,$B$16/M96)))+$B$7/2,MAX((Inputs!$B$5+(K96-Inputs!$B$5)*MIN(1,$B$16/M96)),K96)+Inputs!$B$41)</f>
        <v>291.8</v>
      </c>
      <c r="O96" s="29">
        <f>MIN(IF(OR(Inputs!$C$68=0,((((Inputs!$C$68*COS((-$B96))+Inputs!$B$68*SIN((-$B96)))-Inputs!$B$5)*(K96-Inputs!$B$5)+((Inputs!$C$68*SIN((-$B96))-Inputs!$B$68*COS((-$B96)))-Inputs!$B$6)*(L96-Inputs!$B$6))/M96)&lt;0,((((Inputs!$C$68*COS((-$B96))+Inputs!$B$68*SIN((-$B96)))-Inputs!$B$5)*(K96-Inputs!$B$5)+((Inputs!$C$68*SIN((-$B96))-Inputs!$B$68*COS((-$B96)))-Inputs!$B$6)*(L96-Inputs!$B$6))/M96)&gt;M96-Inputs!$B$40),999,(ABS((K96-Inputs!$B$5)*((Inputs!$C$68*SIN((-$B96))-Inputs!$B$68*COS((-$B96)))-Inputs!$B$6)-(L96-Inputs!$B$6)*((Inputs!$C$68*COS((-$B96))+Inputs!$B$68*SIN((-$B96)))-Inputs!$B$5))/M96)-IF(((((Inputs!$C$68*COS((-$B96))+Inputs!$B$68*SIN((-$B96)))-Inputs!$B$5)*(K96-Inputs!$B$5)+((Inputs!$C$68*SIN((-$B96))-Inputs!$B$68*COS((-$B96)))-Inputs!$B$6)*(L96-Inputs!$B$6))/M96)&lt;$B$16,$B$7/2,$B$8/2)-Inputs!$B$39),IF(OR(Inputs!$C$69=0,((((Inputs!$C$69*COS((-$B96))+Inputs!$B$69*SIN((-$B96)))-Inputs!$B$5)*(K96-Inputs!$B$5)+((Inputs!$C$69*SIN((-$B96))-Inputs!$B$69*COS((-$B96)))-Inputs!$B$6)*(L96-Inputs!$B$6))/M96)&lt;0,((((Inputs!$C$69*COS((-$B96))+Inputs!$B$69*SIN((-$B96)))-Inputs!$B$5)*(K96-Inputs!$B$5)+((Inputs!$C$69*SIN((-$B96))-Inputs!$B$69*COS((-$B96)))-Inputs!$B$6)*(L96-Inputs!$B$6))/M96)&gt;M96-Inputs!$B$40),999,(ABS((K96-Inputs!$B$5)*((Inputs!$C$69*SIN((-$B96))-Inputs!$B$69*COS((-$B96)))-Inputs!$B$6)-(L96-Inputs!$B$6)*((Inputs!$C$69*COS((-$B96))+Inputs!$B$69*SIN((-$B96)))-Inputs!$B$5))/M96)-IF(((((Inputs!$C$69*COS((-$B96))+Inputs!$B$69*SIN((-$B96)))-Inputs!$B$5)*(K96-Inputs!$B$5)+((Inputs!$C$69*SIN((-$B96))-Inputs!$B$69*COS((-$B96)))-Inputs!$B$6)*(L96-Inputs!$B$6))/M96)&lt;$B$16,$B$7/2,$B$8/2)-Inputs!$B$39),IF(OR(Inputs!$C$70=0,((((Inputs!$C$70*COS((-$B96))+Inputs!$B$70*SIN((-$B96)))-Inputs!$B$5)*(K96-Inputs!$B$5)+((Inputs!$C$70*SIN((-$B96))-Inputs!$B$70*COS((-$B96)))-Inputs!$B$6)*(L96-Inputs!$B$6))/M96)&lt;0,((((Inputs!$C$70*COS((-$B96))+Inputs!$B$70*SIN((-$B96)))-Inputs!$B$5)*(K96-Inputs!$B$5)+((Inputs!$C$70*SIN((-$B96))-Inputs!$B$70*COS((-$B96)))-Inputs!$B$6)*(L96-Inputs!$B$6))/M96)&gt;M96-Inputs!$B$40),999,(ABS((K96-Inputs!$B$5)*((Inputs!$C$70*SIN((-$B96))-Inputs!$B$70*COS((-$B96)))-Inputs!$B$6)-(L96-Inputs!$B$6)*((Inputs!$C$70*COS((-$B96))+Inputs!$B$70*SIN((-$B96)))-Inputs!$B$5))/M96)-IF(((((Inputs!$C$70*COS((-$B96))+Inputs!$B$70*SIN((-$B96)))-Inputs!$B$5)*(K96-Inputs!$B$5)+((Inputs!$C$70*SIN((-$B96))-Inputs!$B$70*COS((-$B96)))-Inputs!$B$6)*(L96-Inputs!$B$6))/M96)&lt;$B$16,$B$7/2,$B$8/2)-Inputs!$B$39),IF(OR(Inputs!$C$71=0,((((Inputs!$C$71*COS((-$B96))+Inputs!$B$71*SIN((-$B96)))-Inputs!$B$5)*(K96-Inputs!$B$5)+((Inputs!$C$71*SIN((-$B96))-Inputs!$B$71*COS((-$B96)))-Inputs!$B$6)*(L96-Inputs!$B$6))/M96)&lt;0,((((Inputs!$C$71*COS((-$B96))+Inputs!$B$71*SIN((-$B96)))-Inputs!$B$5)*(K96-Inputs!$B$5)+((Inputs!$C$71*SIN((-$B96))-Inputs!$B$71*COS((-$B96)))-Inputs!$B$6)*(L96-Inputs!$B$6))/M96)&gt;M96-Inputs!$B$40),999,(ABS((K96-Inputs!$B$5)*((Inputs!$C$71*SIN((-$B96))-Inputs!$B$71*COS((-$B96)))-Inputs!$B$6)-(L96-Inputs!$B$6)*((Inputs!$C$71*COS((-$B96))+Inputs!$B$71*SIN((-$B96)))-Inputs!$B$5))/M96)-IF(((((Inputs!$C$71*COS((-$B96))+Inputs!$B$71*SIN((-$B96)))-Inputs!$B$5)*(K96-Inputs!$B$5)+((Inputs!$C$71*SIN((-$B96))-Inputs!$B$71*COS((-$B96)))-Inputs!$B$6)*(L96-Inputs!$B$6))/M96)&lt;$B$16,$B$7/2,$B$8/2)-Inputs!$B$39),IF(OR(Inputs!$C$72=0,((((Inputs!$C$72*COS((-$B96))+Inputs!$B$72*SIN((-$B96)))-Inputs!$B$5)*(K96-Inputs!$B$5)+((Inputs!$C$72*SIN((-$B96))-Inputs!$B$72*COS((-$B96)))-Inputs!$B$6)*(L96-Inputs!$B$6))/M96)&lt;0,((((Inputs!$C$72*COS((-$B96))+Inputs!$B$72*SIN((-$B96)))-Inputs!$B$5)*(K96-Inputs!$B$5)+((Inputs!$C$72*SIN((-$B96))-Inputs!$B$72*COS((-$B96)))-Inputs!$B$6)*(L96-Inputs!$B$6))/M96)&gt;M96-Inputs!$B$40),999,(ABS((K96-Inputs!$B$5)*((Inputs!$C$72*SIN((-$B96))-Inputs!$B$72*COS((-$B96)))-Inputs!$B$6)-(L96-Inputs!$B$6)*((Inputs!$C$72*COS((-$B96))+Inputs!$B$72*SIN((-$B96)))-Inputs!$B$5))/M96)-IF(((((Inputs!$C$72*COS((-$B96))+Inputs!$B$72*SIN((-$B96)))-Inputs!$B$5)*(K96-Inputs!$B$5)+((Inputs!$C$72*SIN((-$B96))-Inputs!$B$72*COS((-$B96)))-Inputs!$B$6)*(L96-Inputs!$B$6))/M96)&lt;$B$16,$B$7/2,$B$8/2)-Inputs!$B$39))</f>
        <v>8.159128635</v>
      </c>
      <c r="P96" s="76">
        <f>IF(AND(M96&gt;=$B$14,M96&lt;=$B$15,N96&lt;=Inputs!$B$38,O96&gt;=0,$D96=1),1,0)</f>
        <v>0</v>
      </c>
    </row>
    <row r="97" ht="15.75" customHeight="1">
      <c r="A97" s="23">
        <v>13.5</v>
      </c>
      <c r="B97" s="40">
        <f t="shared" si="4"/>
        <v>0.235619449</v>
      </c>
      <c r="C97" s="29">
        <f>MAX(Inputs!$C$68*COS($B97)+Inputs!$B$68*ABS(SIN($B97)),Inputs!$C$69*COS($B97)+Inputs!$B$69*ABS(SIN($B97)),Inputs!$C$70*COS($B97)+Inputs!$B$70*ABS(SIN($B97)),Inputs!$C$71*COS($B97)+Inputs!$B$71*ABS(SIN($B97)),Inputs!$C$72*COS($B97)+Inputs!$B$72*ABS(SIN($B97)))</f>
        <v>169.8867545</v>
      </c>
      <c r="D97" s="108">
        <f>IF(C97&lt;=Inputs!$B$38,1,0)</f>
        <v>1</v>
      </c>
      <c r="E97" s="29">
        <f>Inputs!$B$11*COS(($B97))-Inputs!$B$7*SIN(($B97))</f>
        <v>139.8955915</v>
      </c>
      <c r="F97" s="29">
        <f>Inputs!$B$11*SIN(($B97))+Inputs!$B$7*COS(($B97))</f>
        <v>-172.0970787</v>
      </c>
      <c r="G97" s="29">
        <f>SQRT((E97-Inputs!$B$5)^2+(F97-Inputs!$B$6)^2)</f>
        <v>293.529898</v>
      </c>
      <c r="H97" s="29">
        <f>MAX(MAX(Inputs!$B$5,(Inputs!$B$5+(E97-Inputs!$B$5)*MIN(1,$B$16/G97)))+$B$7/2,MAX((Inputs!$B$5+(E97-Inputs!$B$5)*MIN(1,$B$16/G97)),E97)+Inputs!$B$41)</f>
        <v>291.8</v>
      </c>
      <c r="I97" s="29">
        <f>MIN(IF(OR(Inputs!$C$68=0,((((Inputs!$C$68*COS(($B97))+Inputs!$B$68*SIN(($B97)))-Inputs!$B$5)*(E97-Inputs!$B$5)+((Inputs!$C$68*SIN(($B97))-Inputs!$B$68*COS(($B97)))-Inputs!$B$6)*(F97-Inputs!$B$6))/G97)&lt;0,((((Inputs!$C$68*COS(($B97))+Inputs!$B$68*SIN(($B97)))-Inputs!$B$5)*(E97-Inputs!$B$5)+((Inputs!$C$68*SIN(($B97))-Inputs!$B$68*COS(($B97)))-Inputs!$B$6)*(F97-Inputs!$B$6))/G97)&gt;G97-Inputs!$B$40),999,(ABS((E97-Inputs!$B$5)*((Inputs!$C$68*SIN(($B97))-Inputs!$B$68*COS(($B97)))-Inputs!$B$6)-(F97-Inputs!$B$6)*((Inputs!$C$68*COS(($B97))+Inputs!$B$68*SIN(($B97)))-Inputs!$B$5))/G97)-IF(((((Inputs!$C$68*COS(($B97))+Inputs!$B$68*SIN(($B97)))-Inputs!$B$5)*(E97-Inputs!$B$5)+((Inputs!$C$68*SIN(($B97))-Inputs!$B$68*COS(($B97)))-Inputs!$B$6)*(F97-Inputs!$B$6))/G97)&lt;$B$16,$B$7/2,$B$8/2)-Inputs!$B$39),IF(OR(Inputs!$C$69=0,((((Inputs!$C$69*COS(($B97))+Inputs!$B$69*SIN(($B97)))-Inputs!$B$5)*(E97-Inputs!$B$5)+((Inputs!$C$69*SIN(($B97))-Inputs!$B$69*COS(($B97)))-Inputs!$B$6)*(F97-Inputs!$B$6))/G97)&lt;0,((((Inputs!$C$69*COS(($B97))+Inputs!$B$69*SIN(($B97)))-Inputs!$B$5)*(E97-Inputs!$B$5)+((Inputs!$C$69*SIN(($B97))-Inputs!$B$69*COS(($B97)))-Inputs!$B$6)*(F97-Inputs!$B$6))/G97)&gt;G97-Inputs!$B$40),999,(ABS((E97-Inputs!$B$5)*((Inputs!$C$69*SIN(($B97))-Inputs!$B$69*COS(($B97)))-Inputs!$B$6)-(F97-Inputs!$B$6)*((Inputs!$C$69*COS(($B97))+Inputs!$B$69*SIN(($B97)))-Inputs!$B$5))/G97)-IF(((((Inputs!$C$69*COS(($B97))+Inputs!$B$69*SIN(($B97)))-Inputs!$B$5)*(E97-Inputs!$B$5)+((Inputs!$C$69*SIN(($B97))-Inputs!$B$69*COS(($B97)))-Inputs!$B$6)*(F97-Inputs!$B$6))/G97)&lt;$B$16,$B$7/2,$B$8/2)-Inputs!$B$39),IF(OR(Inputs!$C$70=0,((((Inputs!$C$70*COS(($B97))+Inputs!$B$70*SIN(($B97)))-Inputs!$B$5)*(E97-Inputs!$B$5)+((Inputs!$C$70*SIN(($B97))-Inputs!$B$70*COS(($B97)))-Inputs!$B$6)*(F97-Inputs!$B$6))/G97)&lt;0,((((Inputs!$C$70*COS(($B97))+Inputs!$B$70*SIN(($B97)))-Inputs!$B$5)*(E97-Inputs!$B$5)+((Inputs!$C$70*SIN(($B97))-Inputs!$B$70*COS(($B97)))-Inputs!$B$6)*(F97-Inputs!$B$6))/G97)&gt;G97-Inputs!$B$40),999,(ABS((E97-Inputs!$B$5)*((Inputs!$C$70*SIN(($B97))-Inputs!$B$70*COS(($B97)))-Inputs!$B$6)-(F97-Inputs!$B$6)*((Inputs!$C$70*COS(($B97))+Inputs!$B$70*SIN(($B97)))-Inputs!$B$5))/G97)-IF(((((Inputs!$C$70*COS(($B97))+Inputs!$B$70*SIN(($B97)))-Inputs!$B$5)*(E97-Inputs!$B$5)+((Inputs!$C$70*SIN(($B97))-Inputs!$B$70*COS(($B97)))-Inputs!$B$6)*(F97-Inputs!$B$6))/G97)&lt;$B$16,$B$7/2,$B$8/2)-Inputs!$B$39),IF(OR(Inputs!$C$71=0,((((Inputs!$C$71*COS(($B97))+Inputs!$B$71*SIN(($B97)))-Inputs!$B$5)*(E97-Inputs!$B$5)+((Inputs!$C$71*SIN(($B97))-Inputs!$B$71*COS(($B97)))-Inputs!$B$6)*(F97-Inputs!$B$6))/G97)&lt;0,((((Inputs!$C$71*COS(($B97))+Inputs!$B$71*SIN(($B97)))-Inputs!$B$5)*(E97-Inputs!$B$5)+((Inputs!$C$71*SIN(($B97))-Inputs!$B$71*COS(($B97)))-Inputs!$B$6)*(F97-Inputs!$B$6))/G97)&gt;G97-Inputs!$B$40),999,(ABS((E97-Inputs!$B$5)*((Inputs!$C$71*SIN(($B97))-Inputs!$B$71*COS(($B97)))-Inputs!$B$6)-(F97-Inputs!$B$6)*((Inputs!$C$71*COS(($B97))+Inputs!$B$71*SIN(($B97)))-Inputs!$B$5))/G97)-IF(((((Inputs!$C$71*COS(($B97))+Inputs!$B$71*SIN(($B97)))-Inputs!$B$5)*(E97-Inputs!$B$5)+((Inputs!$C$71*SIN(($B97))-Inputs!$B$71*COS(($B97)))-Inputs!$B$6)*(F97-Inputs!$B$6))/G97)&lt;$B$16,$B$7/2,$B$8/2)-Inputs!$B$39),IF(OR(Inputs!$C$72=0,((((Inputs!$C$72*COS(($B97))+Inputs!$B$72*SIN(($B97)))-Inputs!$B$5)*(E97-Inputs!$B$5)+((Inputs!$C$72*SIN(($B97))-Inputs!$B$72*COS(($B97)))-Inputs!$B$6)*(F97-Inputs!$B$6))/G97)&lt;0,((((Inputs!$C$72*COS(($B97))+Inputs!$B$72*SIN(($B97)))-Inputs!$B$5)*(E97-Inputs!$B$5)+((Inputs!$C$72*SIN(($B97))-Inputs!$B$72*COS(($B97)))-Inputs!$B$6)*(F97-Inputs!$B$6))/G97)&gt;G97-Inputs!$B$40),999,(ABS((E97-Inputs!$B$5)*((Inputs!$C$72*SIN(($B97))-Inputs!$B$72*COS(($B97)))-Inputs!$B$6)-(F97-Inputs!$B$6)*((Inputs!$C$72*COS(($B97))+Inputs!$B$72*SIN(($B97)))-Inputs!$B$5))/G97)-IF(((((Inputs!$C$72*COS(($B97))+Inputs!$B$72*SIN(($B97)))-Inputs!$B$5)*(E97-Inputs!$B$5)+((Inputs!$C$72*SIN(($B97))-Inputs!$B$72*COS(($B97)))-Inputs!$B$6)*(F97-Inputs!$B$6))/G97)&lt;$B$16,$B$7/2,$B$8/2)-Inputs!$B$39))</f>
        <v>41.44762617</v>
      </c>
      <c r="J97" s="76">
        <f>IF(AND(G97&gt;=$B$14,G97&lt;=$B$15,H97&lt;=Inputs!$B$38,I97&gt;=0,$D97=1),1,0)</f>
        <v>0</v>
      </c>
      <c r="K97" s="29">
        <f>Inputs!$B$11*COS((-$B97))-Inputs!$B$7*SIN((-$B97))</f>
        <v>46.51744595</v>
      </c>
      <c r="L97" s="29">
        <f>Inputs!$B$11*SIN((-$B97))+Inputs!$B$7*COS((-$B97))</f>
        <v>-216.8508894</v>
      </c>
      <c r="M97" s="29">
        <f>SQRT((K97-Inputs!$B$5)^2+(L97-Inputs!$B$6)^2)</f>
        <v>376.5629243</v>
      </c>
      <c r="N97" s="29">
        <f>MAX(MAX(Inputs!$B$5,(Inputs!$B$5+(K97-Inputs!$B$5)*MIN(1,$B$16/M97)))+$B$7/2,MAX((Inputs!$B$5+(K97-Inputs!$B$5)*MIN(1,$B$16/M97)),K97)+Inputs!$B$41)</f>
        <v>291.8</v>
      </c>
      <c r="O97" s="29">
        <f>MIN(IF(OR(Inputs!$C$68=0,((((Inputs!$C$68*COS((-$B97))+Inputs!$B$68*SIN((-$B97)))-Inputs!$B$5)*(K97-Inputs!$B$5)+((Inputs!$C$68*SIN((-$B97))-Inputs!$B$68*COS((-$B97)))-Inputs!$B$6)*(L97-Inputs!$B$6))/M97)&lt;0,((((Inputs!$C$68*COS((-$B97))+Inputs!$B$68*SIN((-$B97)))-Inputs!$B$5)*(K97-Inputs!$B$5)+((Inputs!$C$68*SIN((-$B97))-Inputs!$B$68*COS((-$B97)))-Inputs!$B$6)*(L97-Inputs!$B$6))/M97)&gt;M97-Inputs!$B$40),999,(ABS((K97-Inputs!$B$5)*((Inputs!$C$68*SIN((-$B97))-Inputs!$B$68*COS((-$B97)))-Inputs!$B$6)-(L97-Inputs!$B$6)*((Inputs!$C$68*COS((-$B97))+Inputs!$B$68*SIN((-$B97)))-Inputs!$B$5))/M97)-IF(((((Inputs!$C$68*COS((-$B97))+Inputs!$B$68*SIN((-$B97)))-Inputs!$B$5)*(K97-Inputs!$B$5)+((Inputs!$C$68*SIN((-$B97))-Inputs!$B$68*COS((-$B97)))-Inputs!$B$6)*(L97-Inputs!$B$6))/M97)&lt;$B$16,$B$7/2,$B$8/2)-Inputs!$B$39),IF(OR(Inputs!$C$69=0,((((Inputs!$C$69*COS((-$B97))+Inputs!$B$69*SIN((-$B97)))-Inputs!$B$5)*(K97-Inputs!$B$5)+((Inputs!$C$69*SIN((-$B97))-Inputs!$B$69*COS((-$B97)))-Inputs!$B$6)*(L97-Inputs!$B$6))/M97)&lt;0,((((Inputs!$C$69*COS((-$B97))+Inputs!$B$69*SIN((-$B97)))-Inputs!$B$5)*(K97-Inputs!$B$5)+((Inputs!$C$69*SIN((-$B97))-Inputs!$B$69*COS((-$B97)))-Inputs!$B$6)*(L97-Inputs!$B$6))/M97)&gt;M97-Inputs!$B$40),999,(ABS((K97-Inputs!$B$5)*((Inputs!$C$69*SIN((-$B97))-Inputs!$B$69*COS((-$B97)))-Inputs!$B$6)-(L97-Inputs!$B$6)*((Inputs!$C$69*COS((-$B97))+Inputs!$B$69*SIN((-$B97)))-Inputs!$B$5))/M97)-IF(((((Inputs!$C$69*COS((-$B97))+Inputs!$B$69*SIN((-$B97)))-Inputs!$B$5)*(K97-Inputs!$B$5)+((Inputs!$C$69*SIN((-$B97))-Inputs!$B$69*COS((-$B97)))-Inputs!$B$6)*(L97-Inputs!$B$6))/M97)&lt;$B$16,$B$7/2,$B$8/2)-Inputs!$B$39),IF(OR(Inputs!$C$70=0,((((Inputs!$C$70*COS((-$B97))+Inputs!$B$70*SIN((-$B97)))-Inputs!$B$5)*(K97-Inputs!$B$5)+((Inputs!$C$70*SIN((-$B97))-Inputs!$B$70*COS((-$B97)))-Inputs!$B$6)*(L97-Inputs!$B$6))/M97)&lt;0,((((Inputs!$C$70*COS((-$B97))+Inputs!$B$70*SIN((-$B97)))-Inputs!$B$5)*(K97-Inputs!$B$5)+((Inputs!$C$70*SIN((-$B97))-Inputs!$B$70*COS((-$B97)))-Inputs!$B$6)*(L97-Inputs!$B$6))/M97)&gt;M97-Inputs!$B$40),999,(ABS((K97-Inputs!$B$5)*((Inputs!$C$70*SIN((-$B97))-Inputs!$B$70*COS((-$B97)))-Inputs!$B$6)-(L97-Inputs!$B$6)*((Inputs!$C$70*COS((-$B97))+Inputs!$B$70*SIN((-$B97)))-Inputs!$B$5))/M97)-IF(((((Inputs!$C$70*COS((-$B97))+Inputs!$B$70*SIN((-$B97)))-Inputs!$B$5)*(K97-Inputs!$B$5)+((Inputs!$C$70*SIN((-$B97))-Inputs!$B$70*COS((-$B97)))-Inputs!$B$6)*(L97-Inputs!$B$6))/M97)&lt;$B$16,$B$7/2,$B$8/2)-Inputs!$B$39),IF(OR(Inputs!$C$71=0,((((Inputs!$C$71*COS((-$B97))+Inputs!$B$71*SIN((-$B97)))-Inputs!$B$5)*(K97-Inputs!$B$5)+((Inputs!$C$71*SIN((-$B97))-Inputs!$B$71*COS((-$B97)))-Inputs!$B$6)*(L97-Inputs!$B$6))/M97)&lt;0,((((Inputs!$C$71*COS((-$B97))+Inputs!$B$71*SIN((-$B97)))-Inputs!$B$5)*(K97-Inputs!$B$5)+((Inputs!$C$71*SIN((-$B97))-Inputs!$B$71*COS((-$B97)))-Inputs!$B$6)*(L97-Inputs!$B$6))/M97)&gt;M97-Inputs!$B$40),999,(ABS((K97-Inputs!$B$5)*((Inputs!$C$71*SIN((-$B97))-Inputs!$B$71*COS((-$B97)))-Inputs!$B$6)-(L97-Inputs!$B$6)*((Inputs!$C$71*COS((-$B97))+Inputs!$B$71*SIN((-$B97)))-Inputs!$B$5))/M97)-IF(((((Inputs!$C$71*COS((-$B97))+Inputs!$B$71*SIN((-$B97)))-Inputs!$B$5)*(K97-Inputs!$B$5)+((Inputs!$C$71*SIN((-$B97))-Inputs!$B$71*COS((-$B97)))-Inputs!$B$6)*(L97-Inputs!$B$6))/M97)&lt;$B$16,$B$7/2,$B$8/2)-Inputs!$B$39),IF(OR(Inputs!$C$72=0,((((Inputs!$C$72*COS((-$B97))+Inputs!$B$72*SIN((-$B97)))-Inputs!$B$5)*(K97-Inputs!$B$5)+((Inputs!$C$72*SIN((-$B97))-Inputs!$B$72*COS((-$B97)))-Inputs!$B$6)*(L97-Inputs!$B$6))/M97)&lt;0,((((Inputs!$C$72*COS((-$B97))+Inputs!$B$72*SIN((-$B97)))-Inputs!$B$5)*(K97-Inputs!$B$5)+((Inputs!$C$72*SIN((-$B97))-Inputs!$B$72*COS((-$B97)))-Inputs!$B$6)*(L97-Inputs!$B$6))/M97)&gt;M97-Inputs!$B$40),999,(ABS((K97-Inputs!$B$5)*((Inputs!$C$72*SIN((-$B97))-Inputs!$B$72*COS((-$B97)))-Inputs!$B$6)-(L97-Inputs!$B$6)*((Inputs!$C$72*COS((-$B97))+Inputs!$B$72*SIN((-$B97)))-Inputs!$B$5))/M97)-IF(((((Inputs!$C$72*COS((-$B97))+Inputs!$B$72*SIN((-$B97)))-Inputs!$B$5)*(K97-Inputs!$B$5)+((Inputs!$C$72*SIN((-$B97))-Inputs!$B$72*COS((-$B97)))-Inputs!$B$6)*(L97-Inputs!$B$6))/M97)&lt;$B$16,$B$7/2,$B$8/2)-Inputs!$B$39))</f>
        <v>7.829181602</v>
      </c>
      <c r="P97" s="76">
        <f>IF(AND(M97&gt;=$B$14,M97&lt;=$B$15,N97&lt;=Inputs!$B$38,O97&gt;=0,$D97=1),1,0)</f>
        <v>0</v>
      </c>
    </row>
    <row r="98" ht="15.75" customHeight="1">
      <c r="A98" s="23">
        <v>13.75</v>
      </c>
      <c r="B98" s="40">
        <f t="shared" si="4"/>
        <v>0.2399827721</v>
      </c>
      <c r="C98" s="29">
        <f>MAX(Inputs!$C$68*COS($B98)+Inputs!$B$68*ABS(SIN($B98)),Inputs!$C$69*COS($B98)+Inputs!$B$69*ABS(SIN($B98)),Inputs!$C$70*COS($B98)+Inputs!$B$70*ABS(SIN($B98)),Inputs!$C$71*COS($B98)+Inputs!$B$71*ABS(SIN($B98)),Inputs!$C$72*COS($B98)+Inputs!$B$72*ABS(SIN($B98)))</f>
        <v>171.4961597</v>
      </c>
      <c r="D98" s="108">
        <f>IF(C98&lt;=Inputs!$B$38,1,0)</f>
        <v>1</v>
      </c>
      <c r="E98" s="29">
        <f>Inputs!$B$11*COS(($B98))-Inputs!$B$7*SIN(($B98))</f>
        <v>140.6451726</v>
      </c>
      <c r="F98" s="29">
        <f>Inputs!$B$11*SIN(($B98))+Inputs!$B$7*COS(($B98))</f>
        <v>-171.4850328</v>
      </c>
      <c r="G98" s="29">
        <f>SQRT((E98-Inputs!$B$5)^2+(F98-Inputs!$B$6)^2)</f>
        <v>292.6817406</v>
      </c>
      <c r="H98" s="29">
        <f>MAX(MAX(Inputs!$B$5,(Inputs!$B$5+(E98-Inputs!$B$5)*MIN(1,$B$16/G98)))+$B$7/2,MAX((Inputs!$B$5+(E98-Inputs!$B$5)*MIN(1,$B$16/G98)),E98)+Inputs!$B$41)</f>
        <v>291.8</v>
      </c>
      <c r="I98" s="29">
        <f>MIN(IF(OR(Inputs!$C$68=0,((((Inputs!$C$68*COS(($B98))+Inputs!$B$68*SIN(($B98)))-Inputs!$B$5)*(E98-Inputs!$B$5)+((Inputs!$C$68*SIN(($B98))-Inputs!$B$68*COS(($B98)))-Inputs!$B$6)*(F98-Inputs!$B$6))/G98)&lt;0,((((Inputs!$C$68*COS(($B98))+Inputs!$B$68*SIN(($B98)))-Inputs!$B$5)*(E98-Inputs!$B$5)+((Inputs!$C$68*SIN(($B98))-Inputs!$B$68*COS(($B98)))-Inputs!$B$6)*(F98-Inputs!$B$6))/G98)&gt;G98-Inputs!$B$40),999,(ABS((E98-Inputs!$B$5)*((Inputs!$C$68*SIN(($B98))-Inputs!$B$68*COS(($B98)))-Inputs!$B$6)-(F98-Inputs!$B$6)*((Inputs!$C$68*COS(($B98))+Inputs!$B$68*SIN(($B98)))-Inputs!$B$5))/G98)-IF(((((Inputs!$C$68*COS(($B98))+Inputs!$B$68*SIN(($B98)))-Inputs!$B$5)*(E98-Inputs!$B$5)+((Inputs!$C$68*SIN(($B98))-Inputs!$B$68*COS(($B98)))-Inputs!$B$6)*(F98-Inputs!$B$6))/G98)&lt;$B$16,$B$7/2,$B$8/2)-Inputs!$B$39),IF(OR(Inputs!$C$69=0,((((Inputs!$C$69*COS(($B98))+Inputs!$B$69*SIN(($B98)))-Inputs!$B$5)*(E98-Inputs!$B$5)+((Inputs!$C$69*SIN(($B98))-Inputs!$B$69*COS(($B98)))-Inputs!$B$6)*(F98-Inputs!$B$6))/G98)&lt;0,((((Inputs!$C$69*COS(($B98))+Inputs!$B$69*SIN(($B98)))-Inputs!$B$5)*(E98-Inputs!$B$5)+((Inputs!$C$69*SIN(($B98))-Inputs!$B$69*COS(($B98)))-Inputs!$B$6)*(F98-Inputs!$B$6))/G98)&gt;G98-Inputs!$B$40),999,(ABS((E98-Inputs!$B$5)*((Inputs!$C$69*SIN(($B98))-Inputs!$B$69*COS(($B98)))-Inputs!$B$6)-(F98-Inputs!$B$6)*((Inputs!$C$69*COS(($B98))+Inputs!$B$69*SIN(($B98)))-Inputs!$B$5))/G98)-IF(((((Inputs!$C$69*COS(($B98))+Inputs!$B$69*SIN(($B98)))-Inputs!$B$5)*(E98-Inputs!$B$5)+((Inputs!$C$69*SIN(($B98))-Inputs!$B$69*COS(($B98)))-Inputs!$B$6)*(F98-Inputs!$B$6))/G98)&lt;$B$16,$B$7/2,$B$8/2)-Inputs!$B$39),IF(OR(Inputs!$C$70=0,((((Inputs!$C$70*COS(($B98))+Inputs!$B$70*SIN(($B98)))-Inputs!$B$5)*(E98-Inputs!$B$5)+((Inputs!$C$70*SIN(($B98))-Inputs!$B$70*COS(($B98)))-Inputs!$B$6)*(F98-Inputs!$B$6))/G98)&lt;0,((((Inputs!$C$70*COS(($B98))+Inputs!$B$70*SIN(($B98)))-Inputs!$B$5)*(E98-Inputs!$B$5)+((Inputs!$C$70*SIN(($B98))-Inputs!$B$70*COS(($B98)))-Inputs!$B$6)*(F98-Inputs!$B$6))/G98)&gt;G98-Inputs!$B$40),999,(ABS((E98-Inputs!$B$5)*((Inputs!$C$70*SIN(($B98))-Inputs!$B$70*COS(($B98)))-Inputs!$B$6)-(F98-Inputs!$B$6)*((Inputs!$C$70*COS(($B98))+Inputs!$B$70*SIN(($B98)))-Inputs!$B$5))/G98)-IF(((((Inputs!$C$70*COS(($B98))+Inputs!$B$70*SIN(($B98)))-Inputs!$B$5)*(E98-Inputs!$B$5)+((Inputs!$C$70*SIN(($B98))-Inputs!$B$70*COS(($B98)))-Inputs!$B$6)*(F98-Inputs!$B$6))/G98)&lt;$B$16,$B$7/2,$B$8/2)-Inputs!$B$39),IF(OR(Inputs!$C$71=0,((((Inputs!$C$71*COS(($B98))+Inputs!$B$71*SIN(($B98)))-Inputs!$B$5)*(E98-Inputs!$B$5)+((Inputs!$C$71*SIN(($B98))-Inputs!$B$71*COS(($B98)))-Inputs!$B$6)*(F98-Inputs!$B$6))/G98)&lt;0,((((Inputs!$C$71*COS(($B98))+Inputs!$B$71*SIN(($B98)))-Inputs!$B$5)*(E98-Inputs!$B$5)+((Inputs!$C$71*SIN(($B98))-Inputs!$B$71*COS(($B98)))-Inputs!$B$6)*(F98-Inputs!$B$6))/G98)&gt;G98-Inputs!$B$40),999,(ABS((E98-Inputs!$B$5)*((Inputs!$C$71*SIN(($B98))-Inputs!$B$71*COS(($B98)))-Inputs!$B$6)-(F98-Inputs!$B$6)*((Inputs!$C$71*COS(($B98))+Inputs!$B$71*SIN(($B98)))-Inputs!$B$5))/G98)-IF(((((Inputs!$C$71*COS(($B98))+Inputs!$B$71*SIN(($B98)))-Inputs!$B$5)*(E98-Inputs!$B$5)+((Inputs!$C$71*SIN(($B98))-Inputs!$B$71*COS(($B98)))-Inputs!$B$6)*(F98-Inputs!$B$6))/G98)&lt;$B$16,$B$7/2,$B$8/2)-Inputs!$B$39),IF(OR(Inputs!$C$72=0,((((Inputs!$C$72*COS(($B98))+Inputs!$B$72*SIN(($B98)))-Inputs!$B$5)*(E98-Inputs!$B$5)+((Inputs!$C$72*SIN(($B98))-Inputs!$B$72*COS(($B98)))-Inputs!$B$6)*(F98-Inputs!$B$6))/G98)&lt;0,((((Inputs!$C$72*COS(($B98))+Inputs!$B$72*SIN(($B98)))-Inputs!$B$5)*(E98-Inputs!$B$5)+((Inputs!$C$72*SIN(($B98))-Inputs!$B$72*COS(($B98)))-Inputs!$B$6)*(F98-Inputs!$B$6))/G98)&gt;G98-Inputs!$B$40),999,(ABS((E98-Inputs!$B$5)*((Inputs!$C$72*SIN(($B98))-Inputs!$B$72*COS(($B98)))-Inputs!$B$6)-(F98-Inputs!$B$6)*((Inputs!$C$72*COS(($B98))+Inputs!$B$72*SIN(($B98)))-Inputs!$B$5))/G98)-IF(((((Inputs!$C$72*COS(($B98))+Inputs!$B$72*SIN(($B98)))-Inputs!$B$5)*(E98-Inputs!$B$5)+((Inputs!$C$72*SIN(($B98))-Inputs!$B$72*COS(($B98)))-Inputs!$B$6)*(F98-Inputs!$B$6))/G98)&lt;$B$16,$B$7/2,$B$8/2)-Inputs!$B$39))</f>
        <v>41.63433273</v>
      </c>
      <c r="J98" s="76">
        <f>IF(AND(G98&gt;=$B$14,G98&lt;=$B$15,H98&lt;=Inputs!$B$38,I98&gt;=0,$D98=1),1,0)</f>
        <v>0</v>
      </c>
      <c r="K98" s="29">
        <f>Inputs!$B$11*COS((-$B98))-Inputs!$B$7*SIN((-$B98))</f>
        <v>45.57081564</v>
      </c>
      <c r="L98" s="29">
        <f>Inputs!$B$11*SIN((-$B98))+Inputs!$B$7*COS((-$B98))</f>
        <v>-217.0517952</v>
      </c>
      <c r="M98" s="29">
        <f>SQRT((K98-Inputs!$B$5)^2+(L98-Inputs!$B$6)^2)</f>
        <v>377.2441282</v>
      </c>
      <c r="N98" s="29">
        <f>MAX(MAX(Inputs!$B$5,(Inputs!$B$5+(K98-Inputs!$B$5)*MIN(1,$B$16/M98)))+$B$7/2,MAX((Inputs!$B$5+(K98-Inputs!$B$5)*MIN(1,$B$16/M98)),K98)+Inputs!$B$41)</f>
        <v>291.8</v>
      </c>
      <c r="O98" s="29">
        <f>MIN(IF(OR(Inputs!$C$68=0,((((Inputs!$C$68*COS((-$B98))+Inputs!$B$68*SIN((-$B98)))-Inputs!$B$5)*(K98-Inputs!$B$5)+((Inputs!$C$68*SIN((-$B98))-Inputs!$B$68*COS((-$B98)))-Inputs!$B$6)*(L98-Inputs!$B$6))/M98)&lt;0,((((Inputs!$C$68*COS((-$B98))+Inputs!$B$68*SIN((-$B98)))-Inputs!$B$5)*(K98-Inputs!$B$5)+((Inputs!$C$68*SIN((-$B98))-Inputs!$B$68*COS((-$B98)))-Inputs!$B$6)*(L98-Inputs!$B$6))/M98)&gt;M98-Inputs!$B$40),999,(ABS((K98-Inputs!$B$5)*((Inputs!$C$68*SIN((-$B98))-Inputs!$B$68*COS((-$B98)))-Inputs!$B$6)-(L98-Inputs!$B$6)*((Inputs!$C$68*COS((-$B98))+Inputs!$B$68*SIN((-$B98)))-Inputs!$B$5))/M98)-IF(((((Inputs!$C$68*COS((-$B98))+Inputs!$B$68*SIN((-$B98)))-Inputs!$B$5)*(K98-Inputs!$B$5)+((Inputs!$C$68*SIN((-$B98))-Inputs!$B$68*COS((-$B98)))-Inputs!$B$6)*(L98-Inputs!$B$6))/M98)&lt;$B$16,$B$7/2,$B$8/2)-Inputs!$B$39),IF(OR(Inputs!$C$69=0,((((Inputs!$C$69*COS((-$B98))+Inputs!$B$69*SIN((-$B98)))-Inputs!$B$5)*(K98-Inputs!$B$5)+((Inputs!$C$69*SIN((-$B98))-Inputs!$B$69*COS((-$B98)))-Inputs!$B$6)*(L98-Inputs!$B$6))/M98)&lt;0,((((Inputs!$C$69*COS((-$B98))+Inputs!$B$69*SIN((-$B98)))-Inputs!$B$5)*(K98-Inputs!$B$5)+((Inputs!$C$69*SIN((-$B98))-Inputs!$B$69*COS((-$B98)))-Inputs!$B$6)*(L98-Inputs!$B$6))/M98)&gt;M98-Inputs!$B$40),999,(ABS((K98-Inputs!$B$5)*((Inputs!$C$69*SIN((-$B98))-Inputs!$B$69*COS((-$B98)))-Inputs!$B$6)-(L98-Inputs!$B$6)*((Inputs!$C$69*COS((-$B98))+Inputs!$B$69*SIN((-$B98)))-Inputs!$B$5))/M98)-IF(((((Inputs!$C$69*COS((-$B98))+Inputs!$B$69*SIN((-$B98)))-Inputs!$B$5)*(K98-Inputs!$B$5)+((Inputs!$C$69*SIN((-$B98))-Inputs!$B$69*COS((-$B98)))-Inputs!$B$6)*(L98-Inputs!$B$6))/M98)&lt;$B$16,$B$7/2,$B$8/2)-Inputs!$B$39),IF(OR(Inputs!$C$70=0,((((Inputs!$C$70*COS((-$B98))+Inputs!$B$70*SIN((-$B98)))-Inputs!$B$5)*(K98-Inputs!$B$5)+((Inputs!$C$70*SIN((-$B98))-Inputs!$B$70*COS((-$B98)))-Inputs!$B$6)*(L98-Inputs!$B$6))/M98)&lt;0,((((Inputs!$C$70*COS((-$B98))+Inputs!$B$70*SIN((-$B98)))-Inputs!$B$5)*(K98-Inputs!$B$5)+((Inputs!$C$70*SIN((-$B98))-Inputs!$B$70*COS((-$B98)))-Inputs!$B$6)*(L98-Inputs!$B$6))/M98)&gt;M98-Inputs!$B$40),999,(ABS((K98-Inputs!$B$5)*((Inputs!$C$70*SIN((-$B98))-Inputs!$B$70*COS((-$B98)))-Inputs!$B$6)-(L98-Inputs!$B$6)*((Inputs!$C$70*COS((-$B98))+Inputs!$B$70*SIN((-$B98)))-Inputs!$B$5))/M98)-IF(((((Inputs!$C$70*COS((-$B98))+Inputs!$B$70*SIN((-$B98)))-Inputs!$B$5)*(K98-Inputs!$B$5)+((Inputs!$C$70*SIN((-$B98))-Inputs!$B$70*COS((-$B98)))-Inputs!$B$6)*(L98-Inputs!$B$6))/M98)&lt;$B$16,$B$7/2,$B$8/2)-Inputs!$B$39),IF(OR(Inputs!$C$71=0,((((Inputs!$C$71*COS((-$B98))+Inputs!$B$71*SIN((-$B98)))-Inputs!$B$5)*(K98-Inputs!$B$5)+((Inputs!$C$71*SIN((-$B98))-Inputs!$B$71*COS((-$B98)))-Inputs!$B$6)*(L98-Inputs!$B$6))/M98)&lt;0,((((Inputs!$C$71*COS((-$B98))+Inputs!$B$71*SIN((-$B98)))-Inputs!$B$5)*(K98-Inputs!$B$5)+((Inputs!$C$71*SIN((-$B98))-Inputs!$B$71*COS((-$B98)))-Inputs!$B$6)*(L98-Inputs!$B$6))/M98)&gt;M98-Inputs!$B$40),999,(ABS((K98-Inputs!$B$5)*((Inputs!$C$71*SIN((-$B98))-Inputs!$B$71*COS((-$B98)))-Inputs!$B$6)-(L98-Inputs!$B$6)*((Inputs!$C$71*COS((-$B98))+Inputs!$B$71*SIN((-$B98)))-Inputs!$B$5))/M98)-IF(((((Inputs!$C$71*COS((-$B98))+Inputs!$B$71*SIN((-$B98)))-Inputs!$B$5)*(K98-Inputs!$B$5)+((Inputs!$C$71*SIN((-$B98))-Inputs!$B$71*COS((-$B98)))-Inputs!$B$6)*(L98-Inputs!$B$6))/M98)&lt;$B$16,$B$7/2,$B$8/2)-Inputs!$B$39),IF(OR(Inputs!$C$72=0,((((Inputs!$C$72*COS((-$B98))+Inputs!$B$72*SIN((-$B98)))-Inputs!$B$5)*(K98-Inputs!$B$5)+((Inputs!$C$72*SIN((-$B98))-Inputs!$B$72*COS((-$B98)))-Inputs!$B$6)*(L98-Inputs!$B$6))/M98)&lt;0,((((Inputs!$C$72*COS((-$B98))+Inputs!$B$72*SIN((-$B98)))-Inputs!$B$5)*(K98-Inputs!$B$5)+((Inputs!$C$72*SIN((-$B98))-Inputs!$B$72*COS((-$B98)))-Inputs!$B$6)*(L98-Inputs!$B$6))/M98)&gt;M98-Inputs!$B$40),999,(ABS((K98-Inputs!$B$5)*((Inputs!$C$72*SIN((-$B98))-Inputs!$B$72*COS((-$B98)))-Inputs!$B$6)-(L98-Inputs!$B$6)*((Inputs!$C$72*COS((-$B98))+Inputs!$B$72*SIN((-$B98)))-Inputs!$B$5))/M98)-IF(((((Inputs!$C$72*COS((-$B98))+Inputs!$B$72*SIN((-$B98)))-Inputs!$B$5)*(K98-Inputs!$B$5)+((Inputs!$C$72*SIN((-$B98))-Inputs!$B$72*COS((-$B98)))-Inputs!$B$6)*(L98-Inputs!$B$6))/M98)&lt;$B$16,$B$7/2,$B$8/2)-Inputs!$B$39))</f>
        <v>7.499063742</v>
      </c>
      <c r="P98" s="76">
        <f>IF(AND(M98&gt;=$B$14,M98&lt;=$B$15,N98&lt;=Inputs!$B$38,O98&gt;=0,$D98=1),1,0)</f>
        <v>0</v>
      </c>
    </row>
    <row r="99" ht="15.75" customHeight="1">
      <c r="A99" s="23">
        <v>14.0</v>
      </c>
      <c r="B99" s="40">
        <f t="shared" si="4"/>
        <v>0.2443460953</v>
      </c>
      <c r="C99" s="29">
        <f>MAX(Inputs!$C$68*COS($B99)+Inputs!$B$68*ABS(SIN($B99)),Inputs!$C$69*COS($B99)+Inputs!$B$69*ABS(SIN($B99)),Inputs!$C$70*COS($B99)+Inputs!$B$70*ABS(SIN($B99)),Inputs!$C$71*COS($B99)+Inputs!$B$71*ABS(SIN($B99)),Inputs!$C$72*COS($B99)+Inputs!$B$72*ABS(SIN($B99)))</f>
        <v>173.1022999</v>
      </c>
      <c r="D99" s="108">
        <f>IF(C99&lt;=Inputs!$B$38,1,0)</f>
        <v>1</v>
      </c>
      <c r="E99" s="29">
        <f>Inputs!$B$11*COS(($B99))-Inputs!$B$7*SIN(($B99))</f>
        <v>141.392076</v>
      </c>
      <c r="F99" s="29">
        <f>Inputs!$B$11*SIN(($B99))+Inputs!$B$7*COS(($B99))</f>
        <v>-170.869722</v>
      </c>
      <c r="G99" s="29">
        <f>SQRT((E99-Inputs!$B$5)^2+(F99-Inputs!$B$6)^2)</f>
        <v>291.8322933</v>
      </c>
      <c r="H99" s="29">
        <f>MAX(MAX(Inputs!$B$5,(Inputs!$B$5+(E99-Inputs!$B$5)*MIN(1,$B$16/G99)))+$B$7/2,MAX((Inputs!$B$5+(E99-Inputs!$B$5)*MIN(1,$B$16/G99)),E99)+Inputs!$B$41)</f>
        <v>291.8</v>
      </c>
      <c r="I99" s="29">
        <f>MIN(IF(OR(Inputs!$C$68=0,((((Inputs!$C$68*COS(($B99))+Inputs!$B$68*SIN(($B99)))-Inputs!$B$5)*(E99-Inputs!$B$5)+((Inputs!$C$68*SIN(($B99))-Inputs!$B$68*COS(($B99)))-Inputs!$B$6)*(F99-Inputs!$B$6))/G99)&lt;0,((((Inputs!$C$68*COS(($B99))+Inputs!$B$68*SIN(($B99)))-Inputs!$B$5)*(E99-Inputs!$B$5)+((Inputs!$C$68*SIN(($B99))-Inputs!$B$68*COS(($B99)))-Inputs!$B$6)*(F99-Inputs!$B$6))/G99)&gt;G99-Inputs!$B$40),999,(ABS((E99-Inputs!$B$5)*((Inputs!$C$68*SIN(($B99))-Inputs!$B$68*COS(($B99)))-Inputs!$B$6)-(F99-Inputs!$B$6)*((Inputs!$C$68*COS(($B99))+Inputs!$B$68*SIN(($B99)))-Inputs!$B$5))/G99)-IF(((((Inputs!$C$68*COS(($B99))+Inputs!$B$68*SIN(($B99)))-Inputs!$B$5)*(E99-Inputs!$B$5)+((Inputs!$C$68*SIN(($B99))-Inputs!$B$68*COS(($B99)))-Inputs!$B$6)*(F99-Inputs!$B$6))/G99)&lt;$B$16,$B$7/2,$B$8/2)-Inputs!$B$39),IF(OR(Inputs!$C$69=0,((((Inputs!$C$69*COS(($B99))+Inputs!$B$69*SIN(($B99)))-Inputs!$B$5)*(E99-Inputs!$B$5)+((Inputs!$C$69*SIN(($B99))-Inputs!$B$69*COS(($B99)))-Inputs!$B$6)*(F99-Inputs!$B$6))/G99)&lt;0,((((Inputs!$C$69*COS(($B99))+Inputs!$B$69*SIN(($B99)))-Inputs!$B$5)*(E99-Inputs!$B$5)+((Inputs!$C$69*SIN(($B99))-Inputs!$B$69*COS(($B99)))-Inputs!$B$6)*(F99-Inputs!$B$6))/G99)&gt;G99-Inputs!$B$40),999,(ABS((E99-Inputs!$B$5)*((Inputs!$C$69*SIN(($B99))-Inputs!$B$69*COS(($B99)))-Inputs!$B$6)-(F99-Inputs!$B$6)*((Inputs!$C$69*COS(($B99))+Inputs!$B$69*SIN(($B99)))-Inputs!$B$5))/G99)-IF(((((Inputs!$C$69*COS(($B99))+Inputs!$B$69*SIN(($B99)))-Inputs!$B$5)*(E99-Inputs!$B$5)+((Inputs!$C$69*SIN(($B99))-Inputs!$B$69*COS(($B99)))-Inputs!$B$6)*(F99-Inputs!$B$6))/G99)&lt;$B$16,$B$7/2,$B$8/2)-Inputs!$B$39),IF(OR(Inputs!$C$70=0,((((Inputs!$C$70*COS(($B99))+Inputs!$B$70*SIN(($B99)))-Inputs!$B$5)*(E99-Inputs!$B$5)+((Inputs!$C$70*SIN(($B99))-Inputs!$B$70*COS(($B99)))-Inputs!$B$6)*(F99-Inputs!$B$6))/G99)&lt;0,((((Inputs!$C$70*COS(($B99))+Inputs!$B$70*SIN(($B99)))-Inputs!$B$5)*(E99-Inputs!$B$5)+((Inputs!$C$70*SIN(($B99))-Inputs!$B$70*COS(($B99)))-Inputs!$B$6)*(F99-Inputs!$B$6))/G99)&gt;G99-Inputs!$B$40),999,(ABS((E99-Inputs!$B$5)*((Inputs!$C$70*SIN(($B99))-Inputs!$B$70*COS(($B99)))-Inputs!$B$6)-(F99-Inputs!$B$6)*((Inputs!$C$70*COS(($B99))+Inputs!$B$70*SIN(($B99)))-Inputs!$B$5))/G99)-IF(((((Inputs!$C$70*COS(($B99))+Inputs!$B$70*SIN(($B99)))-Inputs!$B$5)*(E99-Inputs!$B$5)+((Inputs!$C$70*SIN(($B99))-Inputs!$B$70*COS(($B99)))-Inputs!$B$6)*(F99-Inputs!$B$6))/G99)&lt;$B$16,$B$7/2,$B$8/2)-Inputs!$B$39),IF(OR(Inputs!$C$71=0,((((Inputs!$C$71*COS(($B99))+Inputs!$B$71*SIN(($B99)))-Inputs!$B$5)*(E99-Inputs!$B$5)+((Inputs!$C$71*SIN(($B99))-Inputs!$B$71*COS(($B99)))-Inputs!$B$6)*(F99-Inputs!$B$6))/G99)&lt;0,((((Inputs!$C$71*COS(($B99))+Inputs!$B$71*SIN(($B99)))-Inputs!$B$5)*(E99-Inputs!$B$5)+((Inputs!$C$71*SIN(($B99))-Inputs!$B$71*COS(($B99)))-Inputs!$B$6)*(F99-Inputs!$B$6))/G99)&gt;G99-Inputs!$B$40),999,(ABS((E99-Inputs!$B$5)*((Inputs!$C$71*SIN(($B99))-Inputs!$B$71*COS(($B99)))-Inputs!$B$6)-(F99-Inputs!$B$6)*((Inputs!$C$71*COS(($B99))+Inputs!$B$71*SIN(($B99)))-Inputs!$B$5))/G99)-IF(((((Inputs!$C$71*COS(($B99))+Inputs!$B$71*SIN(($B99)))-Inputs!$B$5)*(E99-Inputs!$B$5)+((Inputs!$C$71*SIN(($B99))-Inputs!$B$71*COS(($B99)))-Inputs!$B$6)*(F99-Inputs!$B$6))/G99)&lt;$B$16,$B$7/2,$B$8/2)-Inputs!$B$39),IF(OR(Inputs!$C$72=0,((((Inputs!$C$72*COS(($B99))+Inputs!$B$72*SIN(($B99)))-Inputs!$B$5)*(E99-Inputs!$B$5)+((Inputs!$C$72*SIN(($B99))-Inputs!$B$72*COS(($B99)))-Inputs!$B$6)*(F99-Inputs!$B$6))/G99)&lt;0,((((Inputs!$C$72*COS(($B99))+Inputs!$B$72*SIN(($B99)))-Inputs!$B$5)*(E99-Inputs!$B$5)+((Inputs!$C$72*SIN(($B99))-Inputs!$B$72*COS(($B99)))-Inputs!$B$6)*(F99-Inputs!$B$6))/G99)&gt;G99-Inputs!$B$40),999,(ABS((E99-Inputs!$B$5)*((Inputs!$C$72*SIN(($B99))-Inputs!$B$72*COS(($B99)))-Inputs!$B$6)-(F99-Inputs!$B$6)*((Inputs!$C$72*COS(($B99))+Inputs!$B$72*SIN(($B99)))-Inputs!$B$5))/G99)-IF(((((Inputs!$C$72*COS(($B99))+Inputs!$B$72*SIN(($B99)))-Inputs!$B$5)*(E99-Inputs!$B$5)+((Inputs!$C$72*SIN(($B99))-Inputs!$B$72*COS(($B99)))-Inputs!$B$6)*(F99-Inputs!$B$6))/G99)&lt;$B$16,$B$7/2,$B$8/2)-Inputs!$B$39))</f>
        <v>41.8206049</v>
      </c>
      <c r="J99" s="76">
        <f>IF(AND(G99&gt;=$B$14,G99&lt;=$B$15,H99&lt;=Inputs!$B$38,I99&gt;=0,$D99=1),1,0)</f>
        <v>0</v>
      </c>
      <c r="K99" s="29">
        <f>Inputs!$B$11*COS((-$B99))-Inputs!$B$7*SIN((-$B99))</f>
        <v>44.62331772</v>
      </c>
      <c r="L99" s="29">
        <f>Inputs!$B$11*SIN((-$B99))+Inputs!$B$7*COS((-$B99))</f>
        <v>-217.2485686</v>
      </c>
      <c r="M99" s="29">
        <f>SQRT((K99-Inputs!$B$5)^2+(L99-Inputs!$B$6)^2)</f>
        <v>377.9235847</v>
      </c>
      <c r="N99" s="29">
        <f>MAX(MAX(Inputs!$B$5,(Inputs!$B$5+(K99-Inputs!$B$5)*MIN(1,$B$16/M99)))+$B$7/2,MAX((Inputs!$B$5+(K99-Inputs!$B$5)*MIN(1,$B$16/M99)),K99)+Inputs!$B$41)</f>
        <v>291.8</v>
      </c>
      <c r="O99" s="29">
        <f>MIN(IF(OR(Inputs!$C$68=0,((((Inputs!$C$68*COS((-$B99))+Inputs!$B$68*SIN((-$B99)))-Inputs!$B$5)*(K99-Inputs!$B$5)+((Inputs!$C$68*SIN((-$B99))-Inputs!$B$68*COS((-$B99)))-Inputs!$B$6)*(L99-Inputs!$B$6))/M99)&lt;0,((((Inputs!$C$68*COS((-$B99))+Inputs!$B$68*SIN((-$B99)))-Inputs!$B$5)*(K99-Inputs!$B$5)+((Inputs!$C$68*SIN((-$B99))-Inputs!$B$68*COS((-$B99)))-Inputs!$B$6)*(L99-Inputs!$B$6))/M99)&gt;M99-Inputs!$B$40),999,(ABS((K99-Inputs!$B$5)*((Inputs!$C$68*SIN((-$B99))-Inputs!$B$68*COS((-$B99)))-Inputs!$B$6)-(L99-Inputs!$B$6)*((Inputs!$C$68*COS((-$B99))+Inputs!$B$68*SIN((-$B99)))-Inputs!$B$5))/M99)-IF(((((Inputs!$C$68*COS((-$B99))+Inputs!$B$68*SIN((-$B99)))-Inputs!$B$5)*(K99-Inputs!$B$5)+((Inputs!$C$68*SIN((-$B99))-Inputs!$B$68*COS((-$B99)))-Inputs!$B$6)*(L99-Inputs!$B$6))/M99)&lt;$B$16,$B$7/2,$B$8/2)-Inputs!$B$39),IF(OR(Inputs!$C$69=0,((((Inputs!$C$69*COS((-$B99))+Inputs!$B$69*SIN((-$B99)))-Inputs!$B$5)*(K99-Inputs!$B$5)+((Inputs!$C$69*SIN((-$B99))-Inputs!$B$69*COS((-$B99)))-Inputs!$B$6)*(L99-Inputs!$B$6))/M99)&lt;0,((((Inputs!$C$69*COS((-$B99))+Inputs!$B$69*SIN((-$B99)))-Inputs!$B$5)*(K99-Inputs!$B$5)+((Inputs!$C$69*SIN((-$B99))-Inputs!$B$69*COS((-$B99)))-Inputs!$B$6)*(L99-Inputs!$B$6))/M99)&gt;M99-Inputs!$B$40),999,(ABS((K99-Inputs!$B$5)*((Inputs!$C$69*SIN((-$B99))-Inputs!$B$69*COS((-$B99)))-Inputs!$B$6)-(L99-Inputs!$B$6)*((Inputs!$C$69*COS((-$B99))+Inputs!$B$69*SIN((-$B99)))-Inputs!$B$5))/M99)-IF(((((Inputs!$C$69*COS((-$B99))+Inputs!$B$69*SIN((-$B99)))-Inputs!$B$5)*(K99-Inputs!$B$5)+((Inputs!$C$69*SIN((-$B99))-Inputs!$B$69*COS((-$B99)))-Inputs!$B$6)*(L99-Inputs!$B$6))/M99)&lt;$B$16,$B$7/2,$B$8/2)-Inputs!$B$39),IF(OR(Inputs!$C$70=0,((((Inputs!$C$70*COS((-$B99))+Inputs!$B$70*SIN((-$B99)))-Inputs!$B$5)*(K99-Inputs!$B$5)+((Inputs!$C$70*SIN((-$B99))-Inputs!$B$70*COS((-$B99)))-Inputs!$B$6)*(L99-Inputs!$B$6))/M99)&lt;0,((((Inputs!$C$70*COS((-$B99))+Inputs!$B$70*SIN((-$B99)))-Inputs!$B$5)*(K99-Inputs!$B$5)+((Inputs!$C$70*SIN((-$B99))-Inputs!$B$70*COS((-$B99)))-Inputs!$B$6)*(L99-Inputs!$B$6))/M99)&gt;M99-Inputs!$B$40),999,(ABS((K99-Inputs!$B$5)*((Inputs!$C$70*SIN((-$B99))-Inputs!$B$70*COS((-$B99)))-Inputs!$B$6)-(L99-Inputs!$B$6)*((Inputs!$C$70*COS((-$B99))+Inputs!$B$70*SIN((-$B99)))-Inputs!$B$5))/M99)-IF(((((Inputs!$C$70*COS((-$B99))+Inputs!$B$70*SIN((-$B99)))-Inputs!$B$5)*(K99-Inputs!$B$5)+((Inputs!$C$70*SIN((-$B99))-Inputs!$B$70*COS((-$B99)))-Inputs!$B$6)*(L99-Inputs!$B$6))/M99)&lt;$B$16,$B$7/2,$B$8/2)-Inputs!$B$39),IF(OR(Inputs!$C$71=0,((((Inputs!$C$71*COS((-$B99))+Inputs!$B$71*SIN((-$B99)))-Inputs!$B$5)*(K99-Inputs!$B$5)+((Inputs!$C$71*SIN((-$B99))-Inputs!$B$71*COS((-$B99)))-Inputs!$B$6)*(L99-Inputs!$B$6))/M99)&lt;0,((((Inputs!$C$71*COS((-$B99))+Inputs!$B$71*SIN((-$B99)))-Inputs!$B$5)*(K99-Inputs!$B$5)+((Inputs!$C$71*SIN((-$B99))-Inputs!$B$71*COS((-$B99)))-Inputs!$B$6)*(L99-Inputs!$B$6))/M99)&gt;M99-Inputs!$B$40),999,(ABS((K99-Inputs!$B$5)*((Inputs!$C$71*SIN((-$B99))-Inputs!$B$71*COS((-$B99)))-Inputs!$B$6)-(L99-Inputs!$B$6)*((Inputs!$C$71*COS((-$B99))+Inputs!$B$71*SIN((-$B99)))-Inputs!$B$5))/M99)-IF(((((Inputs!$C$71*COS((-$B99))+Inputs!$B$71*SIN((-$B99)))-Inputs!$B$5)*(K99-Inputs!$B$5)+((Inputs!$C$71*SIN((-$B99))-Inputs!$B$71*COS((-$B99)))-Inputs!$B$6)*(L99-Inputs!$B$6))/M99)&lt;$B$16,$B$7/2,$B$8/2)-Inputs!$B$39),IF(OR(Inputs!$C$72=0,((((Inputs!$C$72*COS((-$B99))+Inputs!$B$72*SIN((-$B99)))-Inputs!$B$5)*(K99-Inputs!$B$5)+((Inputs!$C$72*SIN((-$B99))-Inputs!$B$72*COS((-$B99)))-Inputs!$B$6)*(L99-Inputs!$B$6))/M99)&lt;0,((((Inputs!$C$72*COS((-$B99))+Inputs!$B$72*SIN((-$B99)))-Inputs!$B$5)*(K99-Inputs!$B$5)+((Inputs!$C$72*SIN((-$B99))-Inputs!$B$72*COS((-$B99)))-Inputs!$B$6)*(L99-Inputs!$B$6))/M99)&gt;M99-Inputs!$B$40),999,(ABS((K99-Inputs!$B$5)*((Inputs!$C$72*SIN((-$B99))-Inputs!$B$72*COS((-$B99)))-Inputs!$B$6)-(L99-Inputs!$B$6)*((Inputs!$C$72*COS((-$B99))+Inputs!$B$72*SIN((-$B99)))-Inputs!$B$5))/M99)-IF(((((Inputs!$C$72*COS((-$B99))+Inputs!$B$72*SIN((-$B99)))-Inputs!$B$5)*(K99-Inputs!$B$5)+((Inputs!$C$72*SIN((-$B99))-Inputs!$B$72*COS((-$B99)))-Inputs!$B$6)*(L99-Inputs!$B$6))/M99)&lt;$B$16,$B$7/2,$B$8/2)-Inputs!$B$39))</f>
        <v>7.168776361</v>
      </c>
      <c r="P99" s="76">
        <f>IF(AND(M99&gt;=$B$14,M99&lt;=$B$15,N99&lt;=Inputs!$B$38,O99&gt;=0,$D99=1),1,0)</f>
        <v>0</v>
      </c>
    </row>
    <row r="100" ht="15.75" customHeight="1">
      <c r="A100" s="23">
        <v>14.25</v>
      </c>
      <c r="B100" s="40">
        <f t="shared" si="4"/>
        <v>0.2487094184</v>
      </c>
      <c r="C100" s="29">
        <f>MAX(Inputs!$C$68*COS($B100)+Inputs!$B$68*ABS(SIN($B100)),Inputs!$C$69*COS($B100)+Inputs!$B$69*ABS(SIN($B100)),Inputs!$C$70*COS($B100)+Inputs!$B$70*ABS(SIN($B100)),Inputs!$C$71*COS($B100)+Inputs!$B$71*ABS(SIN($B100)),Inputs!$C$72*COS($B100)+Inputs!$B$72*ABS(SIN($B100)))</f>
        <v>174.7051444</v>
      </c>
      <c r="D100" s="108">
        <f>IF(C100&lt;=Inputs!$B$38,1,0)</f>
        <v>1</v>
      </c>
      <c r="E100" s="29">
        <f>Inputs!$B$11*COS(($B100))-Inputs!$B$7*SIN(($B100))</f>
        <v>142.1362875</v>
      </c>
      <c r="F100" s="29">
        <f>Inputs!$B$11*SIN(($B100))+Inputs!$B$7*COS(($B100))</f>
        <v>-170.251158</v>
      </c>
      <c r="G100" s="29">
        <f>SQRT((E100-Inputs!$B$5)^2+(F100-Inputs!$B$6)^2)</f>
        <v>290.9815611</v>
      </c>
      <c r="H100" s="29">
        <f>MAX(MAX(Inputs!$B$5,(Inputs!$B$5+(E100-Inputs!$B$5)*MIN(1,$B$16/G100)))+$B$7/2,MAX((Inputs!$B$5+(E100-Inputs!$B$5)*MIN(1,$B$16/G100)),E100)+Inputs!$B$41)</f>
        <v>291.8</v>
      </c>
      <c r="I100" s="29">
        <f>MIN(IF(OR(Inputs!$C$68=0,((((Inputs!$C$68*COS(($B100))+Inputs!$B$68*SIN(($B100)))-Inputs!$B$5)*(E100-Inputs!$B$5)+((Inputs!$C$68*SIN(($B100))-Inputs!$B$68*COS(($B100)))-Inputs!$B$6)*(F100-Inputs!$B$6))/G100)&lt;0,((((Inputs!$C$68*COS(($B100))+Inputs!$B$68*SIN(($B100)))-Inputs!$B$5)*(E100-Inputs!$B$5)+((Inputs!$C$68*SIN(($B100))-Inputs!$B$68*COS(($B100)))-Inputs!$B$6)*(F100-Inputs!$B$6))/G100)&gt;G100-Inputs!$B$40),999,(ABS((E100-Inputs!$B$5)*((Inputs!$C$68*SIN(($B100))-Inputs!$B$68*COS(($B100)))-Inputs!$B$6)-(F100-Inputs!$B$6)*((Inputs!$C$68*COS(($B100))+Inputs!$B$68*SIN(($B100)))-Inputs!$B$5))/G100)-IF(((((Inputs!$C$68*COS(($B100))+Inputs!$B$68*SIN(($B100)))-Inputs!$B$5)*(E100-Inputs!$B$5)+((Inputs!$C$68*SIN(($B100))-Inputs!$B$68*COS(($B100)))-Inputs!$B$6)*(F100-Inputs!$B$6))/G100)&lt;$B$16,$B$7/2,$B$8/2)-Inputs!$B$39),IF(OR(Inputs!$C$69=0,((((Inputs!$C$69*COS(($B100))+Inputs!$B$69*SIN(($B100)))-Inputs!$B$5)*(E100-Inputs!$B$5)+((Inputs!$C$69*SIN(($B100))-Inputs!$B$69*COS(($B100)))-Inputs!$B$6)*(F100-Inputs!$B$6))/G100)&lt;0,((((Inputs!$C$69*COS(($B100))+Inputs!$B$69*SIN(($B100)))-Inputs!$B$5)*(E100-Inputs!$B$5)+((Inputs!$C$69*SIN(($B100))-Inputs!$B$69*COS(($B100)))-Inputs!$B$6)*(F100-Inputs!$B$6))/G100)&gt;G100-Inputs!$B$40),999,(ABS((E100-Inputs!$B$5)*((Inputs!$C$69*SIN(($B100))-Inputs!$B$69*COS(($B100)))-Inputs!$B$6)-(F100-Inputs!$B$6)*((Inputs!$C$69*COS(($B100))+Inputs!$B$69*SIN(($B100)))-Inputs!$B$5))/G100)-IF(((((Inputs!$C$69*COS(($B100))+Inputs!$B$69*SIN(($B100)))-Inputs!$B$5)*(E100-Inputs!$B$5)+((Inputs!$C$69*SIN(($B100))-Inputs!$B$69*COS(($B100)))-Inputs!$B$6)*(F100-Inputs!$B$6))/G100)&lt;$B$16,$B$7/2,$B$8/2)-Inputs!$B$39),IF(OR(Inputs!$C$70=0,((((Inputs!$C$70*COS(($B100))+Inputs!$B$70*SIN(($B100)))-Inputs!$B$5)*(E100-Inputs!$B$5)+((Inputs!$C$70*SIN(($B100))-Inputs!$B$70*COS(($B100)))-Inputs!$B$6)*(F100-Inputs!$B$6))/G100)&lt;0,((((Inputs!$C$70*COS(($B100))+Inputs!$B$70*SIN(($B100)))-Inputs!$B$5)*(E100-Inputs!$B$5)+((Inputs!$C$70*SIN(($B100))-Inputs!$B$70*COS(($B100)))-Inputs!$B$6)*(F100-Inputs!$B$6))/G100)&gt;G100-Inputs!$B$40),999,(ABS((E100-Inputs!$B$5)*((Inputs!$C$70*SIN(($B100))-Inputs!$B$70*COS(($B100)))-Inputs!$B$6)-(F100-Inputs!$B$6)*((Inputs!$C$70*COS(($B100))+Inputs!$B$70*SIN(($B100)))-Inputs!$B$5))/G100)-IF(((((Inputs!$C$70*COS(($B100))+Inputs!$B$70*SIN(($B100)))-Inputs!$B$5)*(E100-Inputs!$B$5)+((Inputs!$C$70*SIN(($B100))-Inputs!$B$70*COS(($B100)))-Inputs!$B$6)*(F100-Inputs!$B$6))/G100)&lt;$B$16,$B$7/2,$B$8/2)-Inputs!$B$39),IF(OR(Inputs!$C$71=0,((((Inputs!$C$71*COS(($B100))+Inputs!$B$71*SIN(($B100)))-Inputs!$B$5)*(E100-Inputs!$B$5)+((Inputs!$C$71*SIN(($B100))-Inputs!$B$71*COS(($B100)))-Inputs!$B$6)*(F100-Inputs!$B$6))/G100)&lt;0,((((Inputs!$C$71*COS(($B100))+Inputs!$B$71*SIN(($B100)))-Inputs!$B$5)*(E100-Inputs!$B$5)+((Inputs!$C$71*SIN(($B100))-Inputs!$B$71*COS(($B100)))-Inputs!$B$6)*(F100-Inputs!$B$6))/G100)&gt;G100-Inputs!$B$40),999,(ABS((E100-Inputs!$B$5)*((Inputs!$C$71*SIN(($B100))-Inputs!$B$71*COS(($B100)))-Inputs!$B$6)-(F100-Inputs!$B$6)*((Inputs!$C$71*COS(($B100))+Inputs!$B$71*SIN(($B100)))-Inputs!$B$5))/G100)-IF(((((Inputs!$C$71*COS(($B100))+Inputs!$B$71*SIN(($B100)))-Inputs!$B$5)*(E100-Inputs!$B$5)+((Inputs!$C$71*SIN(($B100))-Inputs!$B$71*COS(($B100)))-Inputs!$B$6)*(F100-Inputs!$B$6))/G100)&lt;$B$16,$B$7/2,$B$8/2)-Inputs!$B$39),IF(OR(Inputs!$C$72=0,((((Inputs!$C$72*COS(($B100))+Inputs!$B$72*SIN(($B100)))-Inputs!$B$5)*(E100-Inputs!$B$5)+((Inputs!$C$72*SIN(($B100))-Inputs!$B$72*COS(($B100)))-Inputs!$B$6)*(F100-Inputs!$B$6))/G100)&lt;0,((((Inputs!$C$72*COS(($B100))+Inputs!$B$72*SIN(($B100)))-Inputs!$B$5)*(E100-Inputs!$B$5)+((Inputs!$C$72*SIN(($B100))-Inputs!$B$72*COS(($B100)))-Inputs!$B$6)*(F100-Inputs!$B$6))/G100)&gt;G100-Inputs!$B$40),999,(ABS((E100-Inputs!$B$5)*((Inputs!$C$72*SIN(($B100))-Inputs!$B$72*COS(($B100)))-Inputs!$B$6)-(F100-Inputs!$B$6)*((Inputs!$C$72*COS(($B100))+Inputs!$B$72*SIN(($B100)))-Inputs!$B$5))/G100)-IF(((((Inputs!$C$72*COS(($B100))+Inputs!$B$72*SIN(($B100)))-Inputs!$B$5)*(E100-Inputs!$B$5)+((Inputs!$C$72*SIN(($B100))-Inputs!$B$72*COS(($B100)))-Inputs!$B$6)*(F100-Inputs!$B$6))/G100)&lt;$B$16,$B$7/2,$B$8/2)-Inputs!$B$39))</f>
        <v>42.00644114</v>
      </c>
      <c r="J100" s="76">
        <f>IF(AND(G100&gt;=$B$14,G100&lt;=$B$15,H100&lt;=Inputs!$B$38,I100&gt;=0,$D100=1),1,0)</f>
        <v>0</v>
      </c>
      <c r="K100" s="29">
        <f>Inputs!$B$11*COS((-$B100))-Inputs!$B$7*SIN((-$B100))</f>
        <v>43.67497024</v>
      </c>
      <c r="L100" s="29">
        <f>Inputs!$B$11*SIN((-$B100))+Inputs!$B$7*COS((-$B100))</f>
        <v>-217.4412058</v>
      </c>
      <c r="M100" s="29">
        <f>SQRT((K100-Inputs!$B$5)^2+(L100-Inputs!$B$6)^2)</f>
        <v>378.6012904</v>
      </c>
      <c r="N100" s="29">
        <f>MAX(MAX(Inputs!$B$5,(Inputs!$B$5+(K100-Inputs!$B$5)*MIN(1,$B$16/M100)))+$B$7/2,MAX((Inputs!$B$5+(K100-Inputs!$B$5)*MIN(1,$B$16/M100)),K100)+Inputs!$B$41)</f>
        <v>291.8</v>
      </c>
      <c r="O100" s="29">
        <f>MIN(IF(OR(Inputs!$C$68=0,((((Inputs!$C$68*COS((-$B100))+Inputs!$B$68*SIN((-$B100)))-Inputs!$B$5)*(K100-Inputs!$B$5)+((Inputs!$C$68*SIN((-$B100))-Inputs!$B$68*COS((-$B100)))-Inputs!$B$6)*(L100-Inputs!$B$6))/M100)&lt;0,((((Inputs!$C$68*COS((-$B100))+Inputs!$B$68*SIN((-$B100)))-Inputs!$B$5)*(K100-Inputs!$B$5)+((Inputs!$C$68*SIN((-$B100))-Inputs!$B$68*COS((-$B100)))-Inputs!$B$6)*(L100-Inputs!$B$6))/M100)&gt;M100-Inputs!$B$40),999,(ABS((K100-Inputs!$B$5)*((Inputs!$C$68*SIN((-$B100))-Inputs!$B$68*COS((-$B100)))-Inputs!$B$6)-(L100-Inputs!$B$6)*((Inputs!$C$68*COS((-$B100))+Inputs!$B$68*SIN((-$B100)))-Inputs!$B$5))/M100)-IF(((((Inputs!$C$68*COS((-$B100))+Inputs!$B$68*SIN((-$B100)))-Inputs!$B$5)*(K100-Inputs!$B$5)+((Inputs!$C$68*SIN((-$B100))-Inputs!$B$68*COS((-$B100)))-Inputs!$B$6)*(L100-Inputs!$B$6))/M100)&lt;$B$16,$B$7/2,$B$8/2)-Inputs!$B$39),IF(OR(Inputs!$C$69=0,((((Inputs!$C$69*COS((-$B100))+Inputs!$B$69*SIN((-$B100)))-Inputs!$B$5)*(K100-Inputs!$B$5)+((Inputs!$C$69*SIN((-$B100))-Inputs!$B$69*COS((-$B100)))-Inputs!$B$6)*(L100-Inputs!$B$6))/M100)&lt;0,((((Inputs!$C$69*COS((-$B100))+Inputs!$B$69*SIN((-$B100)))-Inputs!$B$5)*(K100-Inputs!$B$5)+((Inputs!$C$69*SIN((-$B100))-Inputs!$B$69*COS((-$B100)))-Inputs!$B$6)*(L100-Inputs!$B$6))/M100)&gt;M100-Inputs!$B$40),999,(ABS((K100-Inputs!$B$5)*((Inputs!$C$69*SIN((-$B100))-Inputs!$B$69*COS((-$B100)))-Inputs!$B$6)-(L100-Inputs!$B$6)*((Inputs!$C$69*COS((-$B100))+Inputs!$B$69*SIN((-$B100)))-Inputs!$B$5))/M100)-IF(((((Inputs!$C$69*COS((-$B100))+Inputs!$B$69*SIN((-$B100)))-Inputs!$B$5)*(K100-Inputs!$B$5)+((Inputs!$C$69*SIN((-$B100))-Inputs!$B$69*COS((-$B100)))-Inputs!$B$6)*(L100-Inputs!$B$6))/M100)&lt;$B$16,$B$7/2,$B$8/2)-Inputs!$B$39),IF(OR(Inputs!$C$70=0,((((Inputs!$C$70*COS((-$B100))+Inputs!$B$70*SIN((-$B100)))-Inputs!$B$5)*(K100-Inputs!$B$5)+((Inputs!$C$70*SIN((-$B100))-Inputs!$B$70*COS((-$B100)))-Inputs!$B$6)*(L100-Inputs!$B$6))/M100)&lt;0,((((Inputs!$C$70*COS((-$B100))+Inputs!$B$70*SIN((-$B100)))-Inputs!$B$5)*(K100-Inputs!$B$5)+((Inputs!$C$70*SIN((-$B100))-Inputs!$B$70*COS((-$B100)))-Inputs!$B$6)*(L100-Inputs!$B$6))/M100)&gt;M100-Inputs!$B$40),999,(ABS((K100-Inputs!$B$5)*((Inputs!$C$70*SIN((-$B100))-Inputs!$B$70*COS((-$B100)))-Inputs!$B$6)-(L100-Inputs!$B$6)*((Inputs!$C$70*COS((-$B100))+Inputs!$B$70*SIN((-$B100)))-Inputs!$B$5))/M100)-IF(((((Inputs!$C$70*COS((-$B100))+Inputs!$B$70*SIN((-$B100)))-Inputs!$B$5)*(K100-Inputs!$B$5)+((Inputs!$C$70*SIN((-$B100))-Inputs!$B$70*COS((-$B100)))-Inputs!$B$6)*(L100-Inputs!$B$6))/M100)&lt;$B$16,$B$7/2,$B$8/2)-Inputs!$B$39),IF(OR(Inputs!$C$71=0,((((Inputs!$C$71*COS((-$B100))+Inputs!$B$71*SIN((-$B100)))-Inputs!$B$5)*(K100-Inputs!$B$5)+((Inputs!$C$71*SIN((-$B100))-Inputs!$B$71*COS((-$B100)))-Inputs!$B$6)*(L100-Inputs!$B$6))/M100)&lt;0,((((Inputs!$C$71*COS((-$B100))+Inputs!$B$71*SIN((-$B100)))-Inputs!$B$5)*(K100-Inputs!$B$5)+((Inputs!$C$71*SIN((-$B100))-Inputs!$B$71*COS((-$B100)))-Inputs!$B$6)*(L100-Inputs!$B$6))/M100)&gt;M100-Inputs!$B$40),999,(ABS((K100-Inputs!$B$5)*((Inputs!$C$71*SIN((-$B100))-Inputs!$B$71*COS((-$B100)))-Inputs!$B$6)-(L100-Inputs!$B$6)*((Inputs!$C$71*COS((-$B100))+Inputs!$B$71*SIN((-$B100)))-Inputs!$B$5))/M100)-IF(((((Inputs!$C$71*COS((-$B100))+Inputs!$B$71*SIN((-$B100)))-Inputs!$B$5)*(K100-Inputs!$B$5)+((Inputs!$C$71*SIN((-$B100))-Inputs!$B$71*COS((-$B100)))-Inputs!$B$6)*(L100-Inputs!$B$6))/M100)&lt;$B$16,$B$7/2,$B$8/2)-Inputs!$B$39),IF(OR(Inputs!$C$72=0,((((Inputs!$C$72*COS((-$B100))+Inputs!$B$72*SIN((-$B100)))-Inputs!$B$5)*(K100-Inputs!$B$5)+((Inputs!$C$72*SIN((-$B100))-Inputs!$B$72*COS((-$B100)))-Inputs!$B$6)*(L100-Inputs!$B$6))/M100)&lt;0,((((Inputs!$C$72*COS((-$B100))+Inputs!$B$72*SIN((-$B100)))-Inputs!$B$5)*(K100-Inputs!$B$5)+((Inputs!$C$72*SIN((-$B100))-Inputs!$B$72*COS((-$B100)))-Inputs!$B$6)*(L100-Inputs!$B$6))/M100)&gt;M100-Inputs!$B$40),999,(ABS((K100-Inputs!$B$5)*((Inputs!$C$72*SIN((-$B100))-Inputs!$B$72*COS((-$B100)))-Inputs!$B$6)-(L100-Inputs!$B$6)*((Inputs!$C$72*COS((-$B100))+Inputs!$B$72*SIN((-$B100)))-Inputs!$B$5))/M100)-IF(((((Inputs!$C$72*COS((-$B100))+Inputs!$B$72*SIN((-$B100)))-Inputs!$B$5)*(K100-Inputs!$B$5)+((Inputs!$C$72*SIN((-$B100))-Inputs!$B$72*COS((-$B100)))-Inputs!$B$6)*(L100-Inputs!$B$6))/M100)&lt;$B$16,$B$7/2,$B$8/2)-Inputs!$B$39))</f>
        <v>6.838320762</v>
      </c>
      <c r="P100" s="76">
        <f>IF(AND(M100&gt;=$B$14,M100&lt;=$B$15,N100&lt;=Inputs!$B$38,O100&gt;=0,$D100=1),1,0)</f>
        <v>0</v>
      </c>
    </row>
    <row r="101" ht="15.75" customHeight="1">
      <c r="A101" s="23">
        <v>14.5</v>
      </c>
      <c r="B101" s="40">
        <f t="shared" si="4"/>
        <v>0.2530727415</v>
      </c>
      <c r="C101" s="29">
        <f>MAX(Inputs!$C$68*COS($B101)+Inputs!$B$68*ABS(SIN($B101)),Inputs!$C$69*COS($B101)+Inputs!$B$69*ABS(SIN($B101)),Inputs!$C$70*COS($B101)+Inputs!$B$70*ABS(SIN($B101)),Inputs!$C$71*COS($B101)+Inputs!$B$71*ABS(SIN($B101)),Inputs!$C$72*COS($B101)+Inputs!$B$72*ABS(SIN($B101)))</f>
        <v>176.3046628</v>
      </c>
      <c r="D101" s="108">
        <f>IF(C101&lt;=Inputs!$B$38,1,0)</f>
        <v>1</v>
      </c>
      <c r="E101" s="29">
        <f>Inputs!$B$11*COS(($B101))-Inputs!$B$7*SIN(($B101))</f>
        <v>142.8777929</v>
      </c>
      <c r="F101" s="29">
        <f>Inputs!$B$11*SIN(($B101))+Inputs!$B$7*COS(($B101))</f>
        <v>-169.6293528</v>
      </c>
      <c r="G101" s="29">
        <f>SQRT((E101-Inputs!$B$5)^2+(F101-Inputs!$B$6)^2)</f>
        <v>290.1295489</v>
      </c>
      <c r="H101" s="29">
        <f>MAX(MAX(Inputs!$B$5,(Inputs!$B$5+(E101-Inputs!$B$5)*MIN(1,$B$16/G101)))+$B$7/2,MAX((Inputs!$B$5+(E101-Inputs!$B$5)*MIN(1,$B$16/G101)),E101)+Inputs!$B$41)</f>
        <v>291.8</v>
      </c>
      <c r="I101" s="29">
        <f>MIN(IF(OR(Inputs!$C$68=0,((((Inputs!$C$68*COS(($B101))+Inputs!$B$68*SIN(($B101)))-Inputs!$B$5)*(E101-Inputs!$B$5)+((Inputs!$C$68*SIN(($B101))-Inputs!$B$68*COS(($B101)))-Inputs!$B$6)*(F101-Inputs!$B$6))/G101)&lt;0,((((Inputs!$C$68*COS(($B101))+Inputs!$B$68*SIN(($B101)))-Inputs!$B$5)*(E101-Inputs!$B$5)+((Inputs!$C$68*SIN(($B101))-Inputs!$B$68*COS(($B101)))-Inputs!$B$6)*(F101-Inputs!$B$6))/G101)&gt;G101-Inputs!$B$40),999,(ABS((E101-Inputs!$B$5)*((Inputs!$C$68*SIN(($B101))-Inputs!$B$68*COS(($B101)))-Inputs!$B$6)-(F101-Inputs!$B$6)*((Inputs!$C$68*COS(($B101))+Inputs!$B$68*SIN(($B101)))-Inputs!$B$5))/G101)-IF(((((Inputs!$C$68*COS(($B101))+Inputs!$B$68*SIN(($B101)))-Inputs!$B$5)*(E101-Inputs!$B$5)+((Inputs!$C$68*SIN(($B101))-Inputs!$B$68*COS(($B101)))-Inputs!$B$6)*(F101-Inputs!$B$6))/G101)&lt;$B$16,$B$7/2,$B$8/2)-Inputs!$B$39),IF(OR(Inputs!$C$69=0,((((Inputs!$C$69*COS(($B101))+Inputs!$B$69*SIN(($B101)))-Inputs!$B$5)*(E101-Inputs!$B$5)+((Inputs!$C$69*SIN(($B101))-Inputs!$B$69*COS(($B101)))-Inputs!$B$6)*(F101-Inputs!$B$6))/G101)&lt;0,((((Inputs!$C$69*COS(($B101))+Inputs!$B$69*SIN(($B101)))-Inputs!$B$5)*(E101-Inputs!$B$5)+((Inputs!$C$69*SIN(($B101))-Inputs!$B$69*COS(($B101)))-Inputs!$B$6)*(F101-Inputs!$B$6))/G101)&gt;G101-Inputs!$B$40),999,(ABS((E101-Inputs!$B$5)*((Inputs!$C$69*SIN(($B101))-Inputs!$B$69*COS(($B101)))-Inputs!$B$6)-(F101-Inputs!$B$6)*((Inputs!$C$69*COS(($B101))+Inputs!$B$69*SIN(($B101)))-Inputs!$B$5))/G101)-IF(((((Inputs!$C$69*COS(($B101))+Inputs!$B$69*SIN(($B101)))-Inputs!$B$5)*(E101-Inputs!$B$5)+((Inputs!$C$69*SIN(($B101))-Inputs!$B$69*COS(($B101)))-Inputs!$B$6)*(F101-Inputs!$B$6))/G101)&lt;$B$16,$B$7/2,$B$8/2)-Inputs!$B$39),IF(OR(Inputs!$C$70=0,((((Inputs!$C$70*COS(($B101))+Inputs!$B$70*SIN(($B101)))-Inputs!$B$5)*(E101-Inputs!$B$5)+((Inputs!$C$70*SIN(($B101))-Inputs!$B$70*COS(($B101)))-Inputs!$B$6)*(F101-Inputs!$B$6))/G101)&lt;0,((((Inputs!$C$70*COS(($B101))+Inputs!$B$70*SIN(($B101)))-Inputs!$B$5)*(E101-Inputs!$B$5)+((Inputs!$C$70*SIN(($B101))-Inputs!$B$70*COS(($B101)))-Inputs!$B$6)*(F101-Inputs!$B$6))/G101)&gt;G101-Inputs!$B$40),999,(ABS((E101-Inputs!$B$5)*((Inputs!$C$70*SIN(($B101))-Inputs!$B$70*COS(($B101)))-Inputs!$B$6)-(F101-Inputs!$B$6)*((Inputs!$C$70*COS(($B101))+Inputs!$B$70*SIN(($B101)))-Inputs!$B$5))/G101)-IF(((((Inputs!$C$70*COS(($B101))+Inputs!$B$70*SIN(($B101)))-Inputs!$B$5)*(E101-Inputs!$B$5)+((Inputs!$C$70*SIN(($B101))-Inputs!$B$70*COS(($B101)))-Inputs!$B$6)*(F101-Inputs!$B$6))/G101)&lt;$B$16,$B$7/2,$B$8/2)-Inputs!$B$39),IF(OR(Inputs!$C$71=0,((((Inputs!$C$71*COS(($B101))+Inputs!$B$71*SIN(($B101)))-Inputs!$B$5)*(E101-Inputs!$B$5)+((Inputs!$C$71*SIN(($B101))-Inputs!$B$71*COS(($B101)))-Inputs!$B$6)*(F101-Inputs!$B$6))/G101)&lt;0,((((Inputs!$C$71*COS(($B101))+Inputs!$B$71*SIN(($B101)))-Inputs!$B$5)*(E101-Inputs!$B$5)+((Inputs!$C$71*SIN(($B101))-Inputs!$B$71*COS(($B101)))-Inputs!$B$6)*(F101-Inputs!$B$6))/G101)&gt;G101-Inputs!$B$40),999,(ABS((E101-Inputs!$B$5)*((Inputs!$C$71*SIN(($B101))-Inputs!$B$71*COS(($B101)))-Inputs!$B$6)-(F101-Inputs!$B$6)*((Inputs!$C$71*COS(($B101))+Inputs!$B$71*SIN(($B101)))-Inputs!$B$5))/G101)-IF(((((Inputs!$C$71*COS(($B101))+Inputs!$B$71*SIN(($B101)))-Inputs!$B$5)*(E101-Inputs!$B$5)+((Inputs!$C$71*SIN(($B101))-Inputs!$B$71*COS(($B101)))-Inputs!$B$6)*(F101-Inputs!$B$6))/G101)&lt;$B$16,$B$7/2,$B$8/2)-Inputs!$B$39),IF(OR(Inputs!$C$72=0,((((Inputs!$C$72*COS(($B101))+Inputs!$B$72*SIN(($B101)))-Inputs!$B$5)*(E101-Inputs!$B$5)+((Inputs!$C$72*SIN(($B101))-Inputs!$B$72*COS(($B101)))-Inputs!$B$6)*(F101-Inputs!$B$6))/G101)&lt;0,((((Inputs!$C$72*COS(($B101))+Inputs!$B$72*SIN(($B101)))-Inputs!$B$5)*(E101-Inputs!$B$5)+((Inputs!$C$72*SIN(($B101))-Inputs!$B$72*COS(($B101)))-Inputs!$B$6)*(F101-Inputs!$B$6))/G101)&gt;G101-Inputs!$B$40),999,(ABS((E101-Inputs!$B$5)*((Inputs!$C$72*SIN(($B101))-Inputs!$B$72*COS(($B101)))-Inputs!$B$6)-(F101-Inputs!$B$6)*((Inputs!$C$72*COS(($B101))+Inputs!$B$72*SIN(($B101)))-Inputs!$B$5))/G101)-IF(((((Inputs!$C$72*COS(($B101))+Inputs!$B$72*SIN(($B101)))-Inputs!$B$5)*(E101-Inputs!$B$5)+((Inputs!$C$72*SIN(($B101))-Inputs!$B$72*COS(($B101)))-Inputs!$B$6)*(F101-Inputs!$B$6))/G101)&lt;$B$16,$B$7/2,$B$8/2)-Inputs!$B$39))</f>
        <v>42.19183986</v>
      </c>
      <c r="J101" s="76">
        <f>IF(AND(G101&gt;=$B$14,G101&lt;=$B$15,H101&lt;=Inputs!$B$38,I101&gt;=0,$D101=1),1,0)</f>
        <v>0</v>
      </c>
      <c r="K101" s="29">
        <f>Inputs!$B$11*COS((-$B101))-Inputs!$B$7*SIN((-$B101))</f>
        <v>42.72579126</v>
      </c>
      <c r="L101" s="29">
        <f>Inputs!$B$11*SIN((-$B101))+Inputs!$B$7*COS((-$B101))</f>
        <v>-217.6297034</v>
      </c>
      <c r="M101" s="29">
        <f>SQRT((K101-Inputs!$B$5)^2+(L101-Inputs!$B$6)^2)</f>
        <v>379.2772417</v>
      </c>
      <c r="N101" s="29">
        <f>MAX(MAX(Inputs!$B$5,(Inputs!$B$5+(K101-Inputs!$B$5)*MIN(1,$B$16/M101)))+$B$7/2,MAX((Inputs!$B$5+(K101-Inputs!$B$5)*MIN(1,$B$16/M101)),K101)+Inputs!$B$41)</f>
        <v>291.8</v>
      </c>
      <c r="O101" s="29">
        <f>MIN(IF(OR(Inputs!$C$68=0,((((Inputs!$C$68*COS((-$B101))+Inputs!$B$68*SIN((-$B101)))-Inputs!$B$5)*(K101-Inputs!$B$5)+((Inputs!$C$68*SIN((-$B101))-Inputs!$B$68*COS((-$B101)))-Inputs!$B$6)*(L101-Inputs!$B$6))/M101)&lt;0,((((Inputs!$C$68*COS((-$B101))+Inputs!$B$68*SIN((-$B101)))-Inputs!$B$5)*(K101-Inputs!$B$5)+((Inputs!$C$68*SIN((-$B101))-Inputs!$B$68*COS((-$B101)))-Inputs!$B$6)*(L101-Inputs!$B$6))/M101)&gt;M101-Inputs!$B$40),999,(ABS((K101-Inputs!$B$5)*((Inputs!$C$68*SIN((-$B101))-Inputs!$B$68*COS((-$B101)))-Inputs!$B$6)-(L101-Inputs!$B$6)*((Inputs!$C$68*COS((-$B101))+Inputs!$B$68*SIN((-$B101)))-Inputs!$B$5))/M101)-IF(((((Inputs!$C$68*COS((-$B101))+Inputs!$B$68*SIN((-$B101)))-Inputs!$B$5)*(K101-Inputs!$B$5)+((Inputs!$C$68*SIN((-$B101))-Inputs!$B$68*COS((-$B101)))-Inputs!$B$6)*(L101-Inputs!$B$6))/M101)&lt;$B$16,$B$7/2,$B$8/2)-Inputs!$B$39),IF(OR(Inputs!$C$69=0,((((Inputs!$C$69*COS((-$B101))+Inputs!$B$69*SIN((-$B101)))-Inputs!$B$5)*(K101-Inputs!$B$5)+((Inputs!$C$69*SIN((-$B101))-Inputs!$B$69*COS((-$B101)))-Inputs!$B$6)*(L101-Inputs!$B$6))/M101)&lt;0,((((Inputs!$C$69*COS((-$B101))+Inputs!$B$69*SIN((-$B101)))-Inputs!$B$5)*(K101-Inputs!$B$5)+((Inputs!$C$69*SIN((-$B101))-Inputs!$B$69*COS((-$B101)))-Inputs!$B$6)*(L101-Inputs!$B$6))/M101)&gt;M101-Inputs!$B$40),999,(ABS((K101-Inputs!$B$5)*((Inputs!$C$69*SIN((-$B101))-Inputs!$B$69*COS((-$B101)))-Inputs!$B$6)-(L101-Inputs!$B$6)*((Inputs!$C$69*COS((-$B101))+Inputs!$B$69*SIN((-$B101)))-Inputs!$B$5))/M101)-IF(((((Inputs!$C$69*COS((-$B101))+Inputs!$B$69*SIN((-$B101)))-Inputs!$B$5)*(K101-Inputs!$B$5)+((Inputs!$C$69*SIN((-$B101))-Inputs!$B$69*COS((-$B101)))-Inputs!$B$6)*(L101-Inputs!$B$6))/M101)&lt;$B$16,$B$7/2,$B$8/2)-Inputs!$B$39),IF(OR(Inputs!$C$70=0,((((Inputs!$C$70*COS((-$B101))+Inputs!$B$70*SIN((-$B101)))-Inputs!$B$5)*(K101-Inputs!$B$5)+((Inputs!$C$70*SIN((-$B101))-Inputs!$B$70*COS((-$B101)))-Inputs!$B$6)*(L101-Inputs!$B$6))/M101)&lt;0,((((Inputs!$C$70*COS((-$B101))+Inputs!$B$70*SIN((-$B101)))-Inputs!$B$5)*(K101-Inputs!$B$5)+((Inputs!$C$70*SIN((-$B101))-Inputs!$B$70*COS((-$B101)))-Inputs!$B$6)*(L101-Inputs!$B$6))/M101)&gt;M101-Inputs!$B$40),999,(ABS((K101-Inputs!$B$5)*((Inputs!$C$70*SIN((-$B101))-Inputs!$B$70*COS((-$B101)))-Inputs!$B$6)-(L101-Inputs!$B$6)*((Inputs!$C$70*COS((-$B101))+Inputs!$B$70*SIN((-$B101)))-Inputs!$B$5))/M101)-IF(((((Inputs!$C$70*COS((-$B101))+Inputs!$B$70*SIN((-$B101)))-Inputs!$B$5)*(K101-Inputs!$B$5)+((Inputs!$C$70*SIN((-$B101))-Inputs!$B$70*COS((-$B101)))-Inputs!$B$6)*(L101-Inputs!$B$6))/M101)&lt;$B$16,$B$7/2,$B$8/2)-Inputs!$B$39),IF(OR(Inputs!$C$71=0,((((Inputs!$C$71*COS((-$B101))+Inputs!$B$71*SIN((-$B101)))-Inputs!$B$5)*(K101-Inputs!$B$5)+((Inputs!$C$71*SIN((-$B101))-Inputs!$B$71*COS((-$B101)))-Inputs!$B$6)*(L101-Inputs!$B$6))/M101)&lt;0,((((Inputs!$C$71*COS((-$B101))+Inputs!$B$71*SIN((-$B101)))-Inputs!$B$5)*(K101-Inputs!$B$5)+((Inputs!$C$71*SIN((-$B101))-Inputs!$B$71*COS((-$B101)))-Inputs!$B$6)*(L101-Inputs!$B$6))/M101)&gt;M101-Inputs!$B$40),999,(ABS((K101-Inputs!$B$5)*((Inputs!$C$71*SIN((-$B101))-Inputs!$B$71*COS((-$B101)))-Inputs!$B$6)-(L101-Inputs!$B$6)*((Inputs!$C$71*COS((-$B101))+Inputs!$B$71*SIN((-$B101)))-Inputs!$B$5))/M101)-IF(((((Inputs!$C$71*COS((-$B101))+Inputs!$B$71*SIN((-$B101)))-Inputs!$B$5)*(K101-Inputs!$B$5)+((Inputs!$C$71*SIN((-$B101))-Inputs!$B$71*COS((-$B101)))-Inputs!$B$6)*(L101-Inputs!$B$6))/M101)&lt;$B$16,$B$7/2,$B$8/2)-Inputs!$B$39),IF(OR(Inputs!$C$72=0,((((Inputs!$C$72*COS((-$B101))+Inputs!$B$72*SIN((-$B101)))-Inputs!$B$5)*(K101-Inputs!$B$5)+((Inputs!$C$72*SIN((-$B101))-Inputs!$B$72*COS((-$B101)))-Inputs!$B$6)*(L101-Inputs!$B$6))/M101)&lt;0,((((Inputs!$C$72*COS((-$B101))+Inputs!$B$72*SIN((-$B101)))-Inputs!$B$5)*(K101-Inputs!$B$5)+((Inputs!$C$72*SIN((-$B101))-Inputs!$B$72*COS((-$B101)))-Inputs!$B$6)*(L101-Inputs!$B$6))/M101)&gt;M101-Inputs!$B$40),999,(ABS((K101-Inputs!$B$5)*((Inputs!$C$72*SIN((-$B101))-Inputs!$B$72*COS((-$B101)))-Inputs!$B$6)-(L101-Inputs!$B$6)*((Inputs!$C$72*COS((-$B101))+Inputs!$B$72*SIN((-$B101)))-Inputs!$B$5))/M101)-IF(((((Inputs!$C$72*COS((-$B101))+Inputs!$B$72*SIN((-$B101)))-Inputs!$B$5)*(K101-Inputs!$B$5)+((Inputs!$C$72*SIN((-$B101))-Inputs!$B$72*COS((-$B101)))-Inputs!$B$6)*(L101-Inputs!$B$6))/M101)&lt;$B$16,$B$7/2,$B$8/2)-Inputs!$B$39))</f>
        <v>6.507698256</v>
      </c>
      <c r="P101" s="76">
        <f>IF(AND(M101&gt;=$B$14,M101&lt;=$B$15,N101&lt;=Inputs!$B$38,O101&gt;=0,$D101=1),1,0)</f>
        <v>0</v>
      </c>
    </row>
    <row r="102" ht="15.75" customHeight="1">
      <c r="A102" s="23">
        <v>14.75</v>
      </c>
      <c r="B102" s="40">
        <f t="shared" si="4"/>
        <v>0.2574360647</v>
      </c>
      <c r="C102" s="29">
        <f>MAX(Inputs!$C$68*COS($B102)+Inputs!$B$68*ABS(SIN($B102)),Inputs!$C$69*COS($B102)+Inputs!$B$69*ABS(SIN($B102)),Inputs!$C$70*COS($B102)+Inputs!$B$70*ABS(SIN($B102)),Inputs!$C$71*COS($B102)+Inputs!$B$71*ABS(SIN($B102)),Inputs!$C$72*COS($B102)+Inputs!$B$72*ABS(SIN($B102)))</f>
        <v>177.9008247</v>
      </c>
      <c r="D102" s="108">
        <f>IF(C102&lt;=Inputs!$B$38,1,0)</f>
        <v>1</v>
      </c>
      <c r="E102" s="29">
        <f>Inputs!$B$11*COS(($B102))-Inputs!$B$7*SIN(($B102))</f>
        <v>143.6165781</v>
      </c>
      <c r="F102" s="29">
        <f>Inputs!$B$11*SIN(($B102))+Inputs!$B$7*COS(($B102))</f>
        <v>-169.004318</v>
      </c>
      <c r="G102" s="29">
        <f>SQRT((E102-Inputs!$B$5)^2+(F102-Inputs!$B$6)^2)</f>
        <v>289.2762617</v>
      </c>
      <c r="H102" s="29">
        <f>MAX(MAX(Inputs!$B$5,(Inputs!$B$5+(E102-Inputs!$B$5)*MIN(1,$B$16/G102)))+$B$7/2,MAX((Inputs!$B$5+(E102-Inputs!$B$5)*MIN(1,$B$16/G102)),E102)+Inputs!$B$41)</f>
        <v>291.8</v>
      </c>
      <c r="I102" s="29">
        <f>MIN(IF(OR(Inputs!$C$68=0,((((Inputs!$C$68*COS(($B102))+Inputs!$B$68*SIN(($B102)))-Inputs!$B$5)*(E102-Inputs!$B$5)+((Inputs!$C$68*SIN(($B102))-Inputs!$B$68*COS(($B102)))-Inputs!$B$6)*(F102-Inputs!$B$6))/G102)&lt;0,((((Inputs!$C$68*COS(($B102))+Inputs!$B$68*SIN(($B102)))-Inputs!$B$5)*(E102-Inputs!$B$5)+((Inputs!$C$68*SIN(($B102))-Inputs!$B$68*COS(($B102)))-Inputs!$B$6)*(F102-Inputs!$B$6))/G102)&gt;G102-Inputs!$B$40),999,(ABS((E102-Inputs!$B$5)*((Inputs!$C$68*SIN(($B102))-Inputs!$B$68*COS(($B102)))-Inputs!$B$6)-(F102-Inputs!$B$6)*((Inputs!$C$68*COS(($B102))+Inputs!$B$68*SIN(($B102)))-Inputs!$B$5))/G102)-IF(((((Inputs!$C$68*COS(($B102))+Inputs!$B$68*SIN(($B102)))-Inputs!$B$5)*(E102-Inputs!$B$5)+((Inputs!$C$68*SIN(($B102))-Inputs!$B$68*COS(($B102)))-Inputs!$B$6)*(F102-Inputs!$B$6))/G102)&lt;$B$16,$B$7/2,$B$8/2)-Inputs!$B$39),IF(OR(Inputs!$C$69=0,((((Inputs!$C$69*COS(($B102))+Inputs!$B$69*SIN(($B102)))-Inputs!$B$5)*(E102-Inputs!$B$5)+((Inputs!$C$69*SIN(($B102))-Inputs!$B$69*COS(($B102)))-Inputs!$B$6)*(F102-Inputs!$B$6))/G102)&lt;0,((((Inputs!$C$69*COS(($B102))+Inputs!$B$69*SIN(($B102)))-Inputs!$B$5)*(E102-Inputs!$B$5)+((Inputs!$C$69*SIN(($B102))-Inputs!$B$69*COS(($B102)))-Inputs!$B$6)*(F102-Inputs!$B$6))/G102)&gt;G102-Inputs!$B$40),999,(ABS((E102-Inputs!$B$5)*((Inputs!$C$69*SIN(($B102))-Inputs!$B$69*COS(($B102)))-Inputs!$B$6)-(F102-Inputs!$B$6)*((Inputs!$C$69*COS(($B102))+Inputs!$B$69*SIN(($B102)))-Inputs!$B$5))/G102)-IF(((((Inputs!$C$69*COS(($B102))+Inputs!$B$69*SIN(($B102)))-Inputs!$B$5)*(E102-Inputs!$B$5)+((Inputs!$C$69*SIN(($B102))-Inputs!$B$69*COS(($B102)))-Inputs!$B$6)*(F102-Inputs!$B$6))/G102)&lt;$B$16,$B$7/2,$B$8/2)-Inputs!$B$39),IF(OR(Inputs!$C$70=0,((((Inputs!$C$70*COS(($B102))+Inputs!$B$70*SIN(($B102)))-Inputs!$B$5)*(E102-Inputs!$B$5)+((Inputs!$C$70*SIN(($B102))-Inputs!$B$70*COS(($B102)))-Inputs!$B$6)*(F102-Inputs!$B$6))/G102)&lt;0,((((Inputs!$C$70*COS(($B102))+Inputs!$B$70*SIN(($B102)))-Inputs!$B$5)*(E102-Inputs!$B$5)+((Inputs!$C$70*SIN(($B102))-Inputs!$B$70*COS(($B102)))-Inputs!$B$6)*(F102-Inputs!$B$6))/G102)&gt;G102-Inputs!$B$40),999,(ABS((E102-Inputs!$B$5)*((Inputs!$C$70*SIN(($B102))-Inputs!$B$70*COS(($B102)))-Inputs!$B$6)-(F102-Inputs!$B$6)*((Inputs!$C$70*COS(($B102))+Inputs!$B$70*SIN(($B102)))-Inputs!$B$5))/G102)-IF(((((Inputs!$C$70*COS(($B102))+Inputs!$B$70*SIN(($B102)))-Inputs!$B$5)*(E102-Inputs!$B$5)+((Inputs!$C$70*SIN(($B102))-Inputs!$B$70*COS(($B102)))-Inputs!$B$6)*(F102-Inputs!$B$6))/G102)&lt;$B$16,$B$7/2,$B$8/2)-Inputs!$B$39),IF(OR(Inputs!$C$71=0,((((Inputs!$C$71*COS(($B102))+Inputs!$B$71*SIN(($B102)))-Inputs!$B$5)*(E102-Inputs!$B$5)+((Inputs!$C$71*SIN(($B102))-Inputs!$B$71*COS(($B102)))-Inputs!$B$6)*(F102-Inputs!$B$6))/G102)&lt;0,((((Inputs!$C$71*COS(($B102))+Inputs!$B$71*SIN(($B102)))-Inputs!$B$5)*(E102-Inputs!$B$5)+((Inputs!$C$71*SIN(($B102))-Inputs!$B$71*COS(($B102)))-Inputs!$B$6)*(F102-Inputs!$B$6))/G102)&gt;G102-Inputs!$B$40),999,(ABS((E102-Inputs!$B$5)*((Inputs!$C$71*SIN(($B102))-Inputs!$B$71*COS(($B102)))-Inputs!$B$6)-(F102-Inputs!$B$6)*((Inputs!$C$71*COS(($B102))+Inputs!$B$71*SIN(($B102)))-Inputs!$B$5))/G102)-IF(((((Inputs!$C$71*COS(($B102))+Inputs!$B$71*SIN(($B102)))-Inputs!$B$5)*(E102-Inputs!$B$5)+((Inputs!$C$71*SIN(($B102))-Inputs!$B$71*COS(($B102)))-Inputs!$B$6)*(F102-Inputs!$B$6))/G102)&lt;$B$16,$B$7/2,$B$8/2)-Inputs!$B$39),IF(OR(Inputs!$C$72=0,((((Inputs!$C$72*COS(($B102))+Inputs!$B$72*SIN(($B102)))-Inputs!$B$5)*(E102-Inputs!$B$5)+((Inputs!$C$72*SIN(($B102))-Inputs!$B$72*COS(($B102)))-Inputs!$B$6)*(F102-Inputs!$B$6))/G102)&lt;0,((((Inputs!$C$72*COS(($B102))+Inputs!$B$72*SIN(($B102)))-Inputs!$B$5)*(E102-Inputs!$B$5)+((Inputs!$C$72*SIN(($B102))-Inputs!$B$72*COS(($B102)))-Inputs!$B$6)*(F102-Inputs!$B$6))/G102)&gt;G102-Inputs!$B$40),999,(ABS((E102-Inputs!$B$5)*((Inputs!$C$72*SIN(($B102))-Inputs!$B$72*COS(($B102)))-Inputs!$B$6)-(F102-Inputs!$B$6)*((Inputs!$C$72*COS(($B102))+Inputs!$B$72*SIN(($B102)))-Inputs!$B$5))/G102)-IF(((((Inputs!$C$72*COS(($B102))+Inputs!$B$72*SIN(($B102)))-Inputs!$B$5)*(E102-Inputs!$B$5)+((Inputs!$C$72*SIN(($B102))-Inputs!$B$72*COS(($B102)))-Inputs!$B$6)*(F102-Inputs!$B$6))/G102)&lt;$B$16,$B$7/2,$B$8/2)-Inputs!$B$39))</f>
        <v>42.3767995</v>
      </c>
      <c r="J102" s="76">
        <f>IF(AND(G102&gt;=$B$14,G102&lt;=$B$15,H102&lt;=Inputs!$B$38,I102&gt;=0,$D102=1),1,0)</f>
        <v>0</v>
      </c>
      <c r="K102" s="29">
        <f>Inputs!$B$11*COS((-$B102))-Inputs!$B$7*SIN((-$B102))</f>
        <v>41.77579883</v>
      </c>
      <c r="L102" s="29">
        <f>Inputs!$B$11*SIN((-$B102))+Inputs!$B$7*COS((-$B102))</f>
        <v>-217.8140575</v>
      </c>
      <c r="M102" s="29">
        <f>SQRT((K102-Inputs!$B$5)^2+(L102-Inputs!$B$6)^2)</f>
        <v>379.9514352</v>
      </c>
      <c r="N102" s="29">
        <f>MAX(MAX(Inputs!$B$5,(Inputs!$B$5+(K102-Inputs!$B$5)*MIN(1,$B$16/M102)))+$B$7/2,MAX((Inputs!$B$5+(K102-Inputs!$B$5)*MIN(1,$B$16/M102)),K102)+Inputs!$B$41)</f>
        <v>291.8</v>
      </c>
      <c r="O102" s="29">
        <f>MIN(IF(OR(Inputs!$C$68=0,((((Inputs!$C$68*COS((-$B102))+Inputs!$B$68*SIN((-$B102)))-Inputs!$B$5)*(K102-Inputs!$B$5)+((Inputs!$C$68*SIN((-$B102))-Inputs!$B$68*COS((-$B102)))-Inputs!$B$6)*(L102-Inputs!$B$6))/M102)&lt;0,((((Inputs!$C$68*COS((-$B102))+Inputs!$B$68*SIN((-$B102)))-Inputs!$B$5)*(K102-Inputs!$B$5)+((Inputs!$C$68*SIN((-$B102))-Inputs!$B$68*COS((-$B102)))-Inputs!$B$6)*(L102-Inputs!$B$6))/M102)&gt;M102-Inputs!$B$40),999,(ABS((K102-Inputs!$B$5)*((Inputs!$C$68*SIN((-$B102))-Inputs!$B$68*COS((-$B102)))-Inputs!$B$6)-(L102-Inputs!$B$6)*((Inputs!$C$68*COS((-$B102))+Inputs!$B$68*SIN((-$B102)))-Inputs!$B$5))/M102)-IF(((((Inputs!$C$68*COS((-$B102))+Inputs!$B$68*SIN((-$B102)))-Inputs!$B$5)*(K102-Inputs!$B$5)+((Inputs!$C$68*SIN((-$B102))-Inputs!$B$68*COS((-$B102)))-Inputs!$B$6)*(L102-Inputs!$B$6))/M102)&lt;$B$16,$B$7/2,$B$8/2)-Inputs!$B$39),IF(OR(Inputs!$C$69=0,((((Inputs!$C$69*COS((-$B102))+Inputs!$B$69*SIN((-$B102)))-Inputs!$B$5)*(K102-Inputs!$B$5)+((Inputs!$C$69*SIN((-$B102))-Inputs!$B$69*COS((-$B102)))-Inputs!$B$6)*(L102-Inputs!$B$6))/M102)&lt;0,((((Inputs!$C$69*COS((-$B102))+Inputs!$B$69*SIN((-$B102)))-Inputs!$B$5)*(K102-Inputs!$B$5)+((Inputs!$C$69*SIN((-$B102))-Inputs!$B$69*COS((-$B102)))-Inputs!$B$6)*(L102-Inputs!$B$6))/M102)&gt;M102-Inputs!$B$40),999,(ABS((K102-Inputs!$B$5)*((Inputs!$C$69*SIN((-$B102))-Inputs!$B$69*COS((-$B102)))-Inputs!$B$6)-(L102-Inputs!$B$6)*((Inputs!$C$69*COS((-$B102))+Inputs!$B$69*SIN((-$B102)))-Inputs!$B$5))/M102)-IF(((((Inputs!$C$69*COS((-$B102))+Inputs!$B$69*SIN((-$B102)))-Inputs!$B$5)*(K102-Inputs!$B$5)+((Inputs!$C$69*SIN((-$B102))-Inputs!$B$69*COS((-$B102)))-Inputs!$B$6)*(L102-Inputs!$B$6))/M102)&lt;$B$16,$B$7/2,$B$8/2)-Inputs!$B$39),IF(OR(Inputs!$C$70=0,((((Inputs!$C$70*COS((-$B102))+Inputs!$B$70*SIN((-$B102)))-Inputs!$B$5)*(K102-Inputs!$B$5)+((Inputs!$C$70*SIN((-$B102))-Inputs!$B$70*COS((-$B102)))-Inputs!$B$6)*(L102-Inputs!$B$6))/M102)&lt;0,((((Inputs!$C$70*COS((-$B102))+Inputs!$B$70*SIN((-$B102)))-Inputs!$B$5)*(K102-Inputs!$B$5)+((Inputs!$C$70*SIN((-$B102))-Inputs!$B$70*COS((-$B102)))-Inputs!$B$6)*(L102-Inputs!$B$6))/M102)&gt;M102-Inputs!$B$40),999,(ABS((K102-Inputs!$B$5)*((Inputs!$C$70*SIN((-$B102))-Inputs!$B$70*COS((-$B102)))-Inputs!$B$6)-(L102-Inputs!$B$6)*((Inputs!$C$70*COS((-$B102))+Inputs!$B$70*SIN((-$B102)))-Inputs!$B$5))/M102)-IF(((((Inputs!$C$70*COS((-$B102))+Inputs!$B$70*SIN((-$B102)))-Inputs!$B$5)*(K102-Inputs!$B$5)+((Inputs!$C$70*SIN((-$B102))-Inputs!$B$70*COS((-$B102)))-Inputs!$B$6)*(L102-Inputs!$B$6))/M102)&lt;$B$16,$B$7/2,$B$8/2)-Inputs!$B$39),IF(OR(Inputs!$C$71=0,((((Inputs!$C$71*COS((-$B102))+Inputs!$B$71*SIN((-$B102)))-Inputs!$B$5)*(K102-Inputs!$B$5)+((Inputs!$C$71*SIN((-$B102))-Inputs!$B$71*COS((-$B102)))-Inputs!$B$6)*(L102-Inputs!$B$6))/M102)&lt;0,((((Inputs!$C$71*COS((-$B102))+Inputs!$B$71*SIN((-$B102)))-Inputs!$B$5)*(K102-Inputs!$B$5)+((Inputs!$C$71*SIN((-$B102))-Inputs!$B$71*COS((-$B102)))-Inputs!$B$6)*(L102-Inputs!$B$6))/M102)&gt;M102-Inputs!$B$40),999,(ABS((K102-Inputs!$B$5)*((Inputs!$C$71*SIN((-$B102))-Inputs!$B$71*COS((-$B102)))-Inputs!$B$6)-(L102-Inputs!$B$6)*((Inputs!$C$71*COS((-$B102))+Inputs!$B$71*SIN((-$B102)))-Inputs!$B$5))/M102)-IF(((((Inputs!$C$71*COS((-$B102))+Inputs!$B$71*SIN((-$B102)))-Inputs!$B$5)*(K102-Inputs!$B$5)+((Inputs!$C$71*SIN((-$B102))-Inputs!$B$71*COS((-$B102)))-Inputs!$B$6)*(L102-Inputs!$B$6))/M102)&lt;$B$16,$B$7/2,$B$8/2)-Inputs!$B$39),IF(OR(Inputs!$C$72=0,((((Inputs!$C$72*COS((-$B102))+Inputs!$B$72*SIN((-$B102)))-Inputs!$B$5)*(K102-Inputs!$B$5)+((Inputs!$C$72*SIN((-$B102))-Inputs!$B$72*COS((-$B102)))-Inputs!$B$6)*(L102-Inputs!$B$6))/M102)&lt;0,((((Inputs!$C$72*COS((-$B102))+Inputs!$B$72*SIN((-$B102)))-Inputs!$B$5)*(K102-Inputs!$B$5)+((Inputs!$C$72*SIN((-$B102))-Inputs!$B$72*COS((-$B102)))-Inputs!$B$6)*(L102-Inputs!$B$6))/M102)&gt;M102-Inputs!$B$40),999,(ABS((K102-Inputs!$B$5)*((Inputs!$C$72*SIN((-$B102))-Inputs!$B$72*COS((-$B102)))-Inputs!$B$6)-(L102-Inputs!$B$6)*((Inputs!$C$72*COS((-$B102))+Inputs!$B$72*SIN((-$B102)))-Inputs!$B$5))/M102)-IF(((((Inputs!$C$72*COS((-$B102))+Inputs!$B$72*SIN((-$B102)))-Inputs!$B$5)*(K102-Inputs!$B$5)+((Inputs!$C$72*SIN((-$B102))-Inputs!$B$72*COS((-$B102)))-Inputs!$B$6)*(L102-Inputs!$B$6))/M102)&lt;$B$16,$B$7/2,$B$8/2)-Inputs!$B$39))</f>
        <v>6.176910153</v>
      </c>
      <c r="P102" s="76">
        <f>IF(AND(M102&gt;=$B$14,M102&lt;=$B$15,N102&lt;=Inputs!$B$38,O102&gt;=0,$D102=1),1,0)</f>
        <v>0</v>
      </c>
    </row>
    <row r="103" ht="15.75" customHeight="1">
      <c r="A103" s="23">
        <v>15.0</v>
      </c>
      <c r="B103" s="40">
        <f t="shared" si="4"/>
        <v>0.2617993878</v>
      </c>
      <c r="C103" s="29">
        <f>MAX(Inputs!$C$68*COS($B103)+Inputs!$B$68*ABS(SIN($B103)),Inputs!$C$69*COS($B103)+Inputs!$B$69*ABS(SIN($B103)),Inputs!$C$70*COS($B103)+Inputs!$B$70*ABS(SIN($B103)),Inputs!$C$71*COS($B103)+Inputs!$B$71*ABS(SIN($B103)),Inputs!$C$72*COS($B103)+Inputs!$B$72*ABS(SIN($B103)))</f>
        <v>179.4935995</v>
      </c>
      <c r="D103" s="108">
        <f>IF(C103&lt;=Inputs!$B$38,1,0)</f>
        <v>1</v>
      </c>
      <c r="E103" s="29">
        <f>Inputs!$B$11*COS(($B103))-Inputs!$B$7*SIN(($B103))</f>
        <v>144.3526291</v>
      </c>
      <c r="F103" s="29">
        <f>Inputs!$B$11*SIN(($B103))+Inputs!$B$7*COS(($B103))</f>
        <v>-168.3760657</v>
      </c>
      <c r="G103" s="29">
        <f>SQRT((E103-Inputs!$B$5)^2+(F103-Inputs!$B$6)^2)</f>
        <v>288.4217045</v>
      </c>
      <c r="H103" s="29">
        <f>MAX(MAX(Inputs!$B$5,(Inputs!$B$5+(E103-Inputs!$B$5)*MIN(1,$B$16/G103)))+$B$7/2,MAX((Inputs!$B$5+(E103-Inputs!$B$5)*MIN(1,$B$16/G103)),E103)+Inputs!$B$41)</f>
        <v>291.8</v>
      </c>
      <c r="I103" s="29">
        <f>MIN(IF(OR(Inputs!$C$68=0,((((Inputs!$C$68*COS(($B103))+Inputs!$B$68*SIN(($B103)))-Inputs!$B$5)*(E103-Inputs!$B$5)+((Inputs!$C$68*SIN(($B103))-Inputs!$B$68*COS(($B103)))-Inputs!$B$6)*(F103-Inputs!$B$6))/G103)&lt;0,((((Inputs!$C$68*COS(($B103))+Inputs!$B$68*SIN(($B103)))-Inputs!$B$5)*(E103-Inputs!$B$5)+((Inputs!$C$68*SIN(($B103))-Inputs!$B$68*COS(($B103)))-Inputs!$B$6)*(F103-Inputs!$B$6))/G103)&gt;G103-Inputs!$B$40),999,(ABS((E103-Inputs!$B$5)*((Inputs!$C$68*SIN(($B103))-Inputs!$B$68*COS(($B103)))-Inputs!$B$6)-(F103-Inputs!$B$6)*((Inputs!$C$68*COS(($B103))+Inputs!$B$68*SIN(($B103)))-Inputs!$B$5))/G103)-IF(((((Inputs!$C$68*COS(($B103))+Inputs!$B$68*SIN(($B103)))-Inputs!$B$5)*(E103-Inputs!$B$5)+((Inputs!$C$68*SIN(($B103))-Inputs!$B$68*COS(($B103)))-Inputs!$B$6)*(F103-Inputs!$B$6))/G103)&lt;$B$16,$B$7/2,$B$8/2)-Inputs!$B$39),IF(OR(Inputs!$C$69=0,((((Inputs!$C$69*COS(($B103))+Inputs!$B$69*SIN(($B103)))-Inputs!$B$5)*(E103-Inputs!$B$5)+((Inputs!$C$69*SIN(($B103))-Inputs!$B$69*COS(($B103)))-Inputs!$B$6)*(F103-Inputs!$B$6))/G103)&lt;0,((((Inputs!$C$69*COS(($B103))+Inputs!$B$69*SIN(($B103)))-Inputs!$B$5)*(E103-Inputs!$B$5)+((Inputs!$C$69*SIN(($B103))-Inputs!$B$69*COS(($B103)))-Inputs!$B$6)*(F103-Inputs!$B$6))/G103)&gt;G103-Inputs!$B$40),999,(ABS((E103-Inputs!$B$5)*((Inputs!$C$69*SIN(($B103))-Inputs!$B$69*COS(($B103)))-Inputs!$B$6)-(F103-Inputs!$B$6)*((Inputs!$C$69*COS(($B103))+Inputs!$B$69*SIN(($B103)))-Inputs!$B$5))/G103)-IF(((((Inputs!$C$69*COS(($B103))+Inputs!$B$69*SIN(($B103)))-Inputs!$B$5)*(E103-Inputs!$B$5)+((Inputs!$C$69*SIN(($B103))-Inputs!$B$69*COS(($B103)))-Inputs!$B$6)*(F103-Inputs!$B$6))/G103)&lt;$B$16,$B$7/2,$B$8/2)-Inputs!$B$39),IF(OR(Inputs!$C$70=0,((((Inputs!$C$70*COS(($B103))+Inputs!$B$70*SIN(($B103)))-Inputs!$B$5)*(E103-Inputs!$B$5)+((Inputs!$C$70*SIN(($B103))-Inputs!$B$70*COS(($B103)))-Inputs!$B$6)*(F103-Inputs!$B$6))/G103)&lt;0,((((Inputs!$C$70*COS(($B103))+Inputs!$B$70*SIN(($B103)))-Inputs!$B$5)*(E103-Inputs!$B$5)+((Inputs!$C$70*SIN(($B103))-Inputs!$B$70*COS(($B103)))-Inputs!$B$6)*(F103-Inputs!$B$6))/G103)&gt;G103-Inputs!$B$40),999,(ABS((E103-Inputs!$B$5)*((Inputs!$C$70*SIN(($B103))-Inputs!$B$70*COS(($B103)))-Inputs!$B$6)-(F103-Inputs!$B$6)*((Inputs!$C$70*COS(($B103))+Inputs!$B$70*SIN(($B103)))-Inputs!$B$5))/G103)-IF(((((Inputs!$C$70*COS(($B103))+Inputs!$B$70*SIN(($B103)))-Inputs!$B$5)*(E103-Inputs!$B$5)+((Inputs!$C$70*SIN(($B103))-Inputs!$B$70*COS(($B103)))-Inputs!$B$6)*(F103-Inputs!$B$6))/G103)&lt;$B$16,$B$7/2,$B$8/2)-Inputs!$B$39),IF(OR(Inputs!$C$71=0,((((Inputs!$C$71*COS(($B103))+Inputs!$B$71*SIN(($B103)))-Inputs!$B$5)*(E103-Inputs!$B$5)+((Inputs!$C$71*SIN(($B103))-Inputs!$B$71*COS(($B103)))-Inputs!$B$6)*(F103-Inputs!$B$6))/G103)&lt;0,((((Inputs!$C$71*COS(($B103))+Inputs!$B$71*SIN(($B103)))-Inputs!$B$5)*(E103-Inputs!$B$5)+((Inputs!$C$71*SIN(($B103))-Inputs!$B$71*COS(($B103)))-Inputs!$B$6)*(F103-Inputs!$B$6))/G103)&gt;G103-Inputs!$B$40),999,(ABS((E103-Inputs!$B$5)*((Inputs!$C$71*SIN(($B103))-Inputs!$B$71*COS(($B103)))-Inputs!$B$6)-(F103-Inputs!$B$6)*((Inputs!$C$71*COS(($B103))+Inputs!$B$71*SIN(($B103)))-Inputs!$B$5))/G103)-IF(((((Inputs!$C$71*COS(($B103))+Inputs!$B$71*SIN(($B103)))-Inputs!$B$5)*(E103-Inputs!$B$5)+((Inputs!$C$71*SIN(($B103))-Inputs!$B$71*COS(($B103)))-Inputs!$B$6)*(F103-Inputs!$B$6))/G103)&lt;$B$16,$B$7/2,$B$8/2)-Inputs!$B$39),IF(OR(Inputs!$C$72=0,((((Inputs!$C$72*COS(($B103))+Inputs!$B$72*SIN(($B103)))-Inputs!$B$5)*(E103-Inputs!$B$5)+((Inputs!$C$72*SIN(($B103))-Inputs!$B$72*COS(($B103)))-Inputs!$B$6)*(F103-Inputs!$B$6))/G103)&lt;0,((((Inputs!$C$72*COS(($B103))+Inputs!$B$72*SIN(($B103)))-Inputs!$B$5)*(E103-Inputs!$B$5)+((Inputs!$C$72*SIN(($B103))-Inputs!$B$72*COS(($B103)))-Inputs!$B$6)*(F103-Inputs!$B$6))/G103)&gt;G103-Inputs!$B$40),999,(ABS((E103-Inputs!$B$5)*((Inputs!$C$72*SIN(($B103))-Inputs!$B$72*COS(($B103)))-Inputs!$B$6)-(F103-Inputs!$B$6)*((Inputs!$C$72*COS(($B103))+Inputs!$B$72*SIN(($B103)))-Inputs!$B$5))/G103)-IF(((((Inputs!$C$72*COS(($B103))+Inputs!$B$72*SIN(($B103)))-Inputs!$B$5)*(E103-Inputs!$B$5)+((Inputs!$C$72*SIN(($B103))-Inputs!$B$72*COS(($B103)))-Inputs!$B$6)*(F103-Inputs!$B$6))/G103)&lt;$B$16,$B$7/2,$B$8/2)-Inputs!$B$39))</f>
        <v>42.56131846</v>
      </c>
      <c r="J103" s="76">
        <f>IF(AND(G103&gt;=$B$14,G103&lt;=$B$15,H103&lt;=Inputs!$B$38,I103&gt;=0,$D103=1),1,0)</f>
        <v>0</v>
      </c>
      <c r="K103" s="29">
        <f>Inputs!$B$11*COS((-$B103))-Inputs!$B$7*SIN((-$B103))</f>
        <v>40.82501106</v>
      </c>
      <c r="L103" s="29">
        <f>Inputs!$B$11*SIN((-$B103))+Inputs!$B$7*COS((-$B103))</f>
        <v>-217.9942648</v>
      </c>
      <c r="M103" s="29">
        <f>SQRT((K103-Inputs!$B$5)^2+(L103-Inputs!$B$6)^2)</f>
        <v>380.6238674</v>
      </c>
      <c r="N103" s="29">
        <f>MAX(MAX(Inputs!$B$5,(Inputs!$B$5+(K103-Inputs!$B$5)*MIN(1,$B$16/M103)))+$B$7/2,MAX((Inputs!$B$5+(K103-Inputs!$B$5)*MIN(1,$B$16/M103)),K103)+Inputs!$B$41)</f>
        <v>291.8</v>
      </c>
      <c r="O103" s="29">
        <f>MIN(IF(OR(Inputs!$C$68=0,((((Inputs!$C$68*COS((-$B103))+Inputs!$B$68*SIN((-$B103)))-Inputs!$B$5)*(K103-Inputs!$B$5)+((Inputs!$C$68*SIN((-$B103))-Inputs!$B$68*COS((-$B103)))-Inputs!$B$6)*(L103-Inputs!$B$6))/M103)&lt;0,((((Inputs!$C$68*COS((-$B103))+Inputs!$B$68*SIN((-$B103)))-Inputs!$B$5)*(K103-Inputs!$B$5)+((Inputs!$C$68*SIN((-$B103))-Inputs!$B$68*COS((-$B103)))-Inputs!$B$6)*(L103-Inputs!$B$6))/M103)&gt;M103-Inputs!$B$40),999,(ABS((K103-Inputs!$B$5)*((Inputs!$C$68*SIN((-$B103))-Inputs!$B$68*COS((-$B103)))-Inputs!$B$6)-(L103-Inputs!$B$6)*((Inputs!$C$68*COS((-$B103))+Inputs!$B$68*SIN((-$B103)))-Inputs!$B$5))/M103)-IF(((((Inputs!$C$68*COS((-$B103))+Inputs!$B$68*SIN((-$B103)))-Inputs!$B$5)*(K103-Inputs!$B$5)+((Inputs!$C$68*SIN((-$B103))-Inputs!$B$68*COS((-$B103)))-Inputs!$B$6)*(L103-Inputs!$B$6))/M103)&lt;$B$16,$B$7/2,$B$8/2)-Inputs!$B$39),IF(OR(Inputs!$C$69=0,((((Inputs!$C$69*COS((-$B103))+Inputs!$B$69*SIN((-$B103)))-Inputs!$B$5)*(K103-Inputs!$B$5)+((Inputs!$C$69*SIN((-$B103))-Inputs!$B$69*COS((-$B103)))-Inputs!$B$6)*(L103-Inputs!$B$6))/M103)&lt;0,((((Inputs!$C$69*COS((-$B103))+Inputs!$B$69*SIN((-$B103)))-Inputs!$B$5)*(K103-Inputs!$B$5)+((Inputs!$C$69*SIN((-$B103))-Inputs!$B$69*COS((-$B103)))-Inputs!$B$6)*(L103-Inputs!$B$6))/M103)&gt;M103-Inputs!$B$40),999,(ABS((K103-Inputs!$B$5)*((Inputs!$C$69*SIN((-$B103))-Inputs!$B$69*COS((-$B103)))-Inputs!$B$6)-(L103-Inputs!$B$6)*((Inputs!$C$69*COS((-$B103))+Inputs!$B$69*SIN((-$B103)))-Inputs!$B$5))/M103)-IF(((((Inputs!$C$69*COS((-$B103))+Inputs!$B$69*SIN((-$B103)))-Inputs!$B$5)*(K103-Inputs!$B$5)+((Inputs!$C$69*SIN((-$B103))-Inputs!$B$69*COS((-$B103)))-Inputs!$B$6)*(L103-Inputs!$B$6))/M103)&lt;$B$16,$B$7/2,$B$8/2)-Inputs!$B$39),IF(OR(Inputs!$C$70=0,((((Inputs!$C$70*COS((-$B103))+Inputs!$B$70*SIN((-$B103)))-Inputs!$B$5)*(K103-Inputs!$B$5)+((Inputs!$C$70*SIN((-$B103))-Inputs!$B$70*COS((-$B103)))-Inputs!$B$6)*(L103-Inputs!$B$6))/M103)&lt;0,((((Inputs!$C$70*COS((-$B103))+Inputs!$B$70*SIN((-$B103)))-Inputs!$B$5)*(K103-Inputs!$B$5)+((Inputs!$C$70*SIN((-$B103))-Inputs!$B$70*COS((-$B103)))-Inputs!$B$6)*(L103-Inputs!$B$6))/M103)&gt;M103-Inputs!$B$40),999,(ABS((K103-Inputs!$B$5)*((Inputs!$C$70*SIN((-$B103))-Inputs!$B$70*COS((-$B103)))-Inputs!$B$6)-(L103-Inputs!$B$6)*((Inputs!$C$70*COS((-$B103))+Inputs!$B$70*SIN((-$B103)))-Inputs!$B$5))/M103)-IF(((((Inputs!$C$70*COS((-$B103))+Inputs!$B$70*SIN((-$B103)))-Inputs!$B$5)*(K103-Inputs!$B$5)+((Inputs!$C$70*SIN((-$B103))-Inputs!$B$70*COS((-$B103)))-Inputs!$B$6)*(L103-Inputs!$B$6))/M103)&lt;$B$16,$B$7/2,$B$8/2)-Inputs!$B$39),IF(OR(Inputs!$C$71=0,((((Inputs!$C$71*COS((-$B103))+Inputs!$B$71*SIN((-$B103)))-Inputs!$B$5)*(K103-Inputs!$B$5)+((Inputs!$C$71*SIN((-$B103))-Inputs!$B$71*COS((-$B103)))-Inputs!$B$6)*(L103-Inputs!$B$6))/M103)&lt;0,((((Inputs!$C$71*COS((-$B103))+Inputs!$B$71*SIN((-$B103)))-Inputs!$B$5)*(K103-Inputs!$B$5)+((Inputs!$C$71*SIN((-$B103))-Inputs!$B$71*COS((-$B103)))-Inputs!$B$6)*(L103-Inputs!$B$6))/M103)&gt;M103-Inputs!$B$40),999,(ABS((K103-Inputs!$B$5)*((Inputs!$C$71*SIN((-$B103))-Inputs!$B$71*COS((-$B103)))-Inputs!$B$6)-(L103-Inputs!$B$6)*((Inputs!$C$71*COS((-$B103))+Inputs!$B$71*SIN((-$B103)))-Inputs!$B$5))/M103)-IF(((((Inputs!$C$71*COS((-$B103))+Inputs!$B$71*SIN((-$B103)))-Inputs!$B$5)*(K103-Inputs!$B$5)+((Inputs!$C$71*SIN((-$B103))-Inputs!$B$71*COS((-$B103)))-Inputs!$B$6)*(L103-Inputs!$B$6))/M103)&lt;$B$16,$B$7/2,$B$8/2)-Inputs!$B$39),IF(OR(Inputs!$C$72=0,((((Inputs!$C$72*COS((-$B103))+Inputs!$B$72*SIN((-$B103)))-Inputs!$B$5)*(K103-Inputs!$B$5)+((Inputs!$C$72*SIN((-$B103))-Inputs!$B$72*COS((-$B103)))-Inputs!$B$6)*(L103-Inputs!$B$6))/M103)&lt;0,((((Inputs!$C$72*COS((-$B103))+Inputs!$B$72*SIN((-$B103)))-Inputs!$B$5)*(K103-Inputs!$B$5)+((Inputs!$C$72*SIN((-$B103))-Inputs!$B$72*COS((-$B103)))-Inputs!$B$6)*(L103-Inputs!$B$6))/M103)&gt;M103-Inputs!$B$40),999,(ABS((K103-Inputs!$B$5)*((Inputs!$C$72*SIN((-$B103))-Inputs!$B$72*COS((-$B103)))-Inputs!$B$6)-(L103-Inputs!$B$6)*((Inputs!$C$72*COS((-$B103))+Inputs!$B$72*SIN((-$B103)))-Inputs!$B$5))/M103)-IF(((((Inputs!$C$72*COS((-$B103))+Inputs!$B$72*SIN((-$B103)))-Inputs!$B$5)*(K103-Inputs!$B$5)+((Inputs!$C$72*SIN((-$B103))-Inputs!$B$72*COS((-$B103)))-Inputs!$B$6)*(L103-Inputs!$B$6))/M103)&lt;$B$16,$B$7/2,$B$8/2)-Inputs!$B$39))</f>
        <v>5.845957768</v>
      </c>
      <c r="P103" s="76">
        <f>IF(AND(M103&gt;=$B$14,M103&lt;=$B$15,N103&lt;=Inputs!$B$38,O103&gt;=0,$D103=1),1,0)</f>
        <v>0</v>
      </c>
    </row>
    <row r="104" ht="15.75" customHeight="1">
      <c r="A104" s="23">
        <v>15.25</v>
      </c>
      <c r="B104" s="40">
        <f t="shared" si="4"/>
        <v>0.2661627109</v>
      </c>
      <c r="C104" s="29">
        <f>MAX(Inputs!$C$68*COS($B104)+Inputs!$B$68*ABS(SIN($B104)),Inputs!$C$69*COS($B104)+Inputs!$B$69*ABS(SIN($B104)),Inputs!$C$70*COS($B104)+Inputs!$B$70*ABS(SIN($B104)),Inputs!$C$71*COS($B104)+Inputs!$B$71*ABS(SIN($B104)),Inputs!$C$72*COS($B104)+Inputs!$B$72*ABS(SIN($B104)))</f>
        <v>181.0829571</v>
      </c>
      <c r="D104" s="108">
        <f>IF(C104&lt;=Inputs!$B$38,1,0)</f>
        <v>1</v>
      </c>
      <c r="E104" s="29">
        <f>Inputs!$B$11*COS(($B104))-Inputs!$B$7*SIN(($B104))</f>
        <v>145.0859318</v>
      </c>
      <c r="F104" s="29">
        <f>Inputs!$B$11*SIN(($B104))+Inputs!$B$7*COS(($B104))</f>
        <v>-167.7446077</v>
      </c>
      <c r="G104" s="29">
        <f>SQRT((E104-Inputs!$B$5)^2+(F104-Inputs!$B$6)^2)</f>
        <v>287.5658823</v>
      </c>
      <c r="H104" s="29">
        <f>MAX(MAX(Inputs!$B$5,(Inputs!$B$5+(E104-Inputs!$B$5)*MIN(1,$B$16/G104)))+$B$7/2,MAX((Inputs!$B$5+(E104-Inputs!$B$5)*MIN(1,$B$16/G104)),E104)+Inputs!$B$41)</f>
        <v>291.8</v>
      </c>
      <c r="I104" s="29">
        <f>MIN(IF(OR(Inputs!$C$68=0,((((Inputs!$C$68*COS(($B104))+Inputs!$B$68*SIN(($B104)))-Inputs!$B$5)*(E104-Inputs!$B$5)+((Inputs!$C$68*SIN(($B104))-Inputs!$B$68*COS(($B104)))-Inputs!$B$6)*(F104-Inputs!$B$6))/G104)&lt;0,((((Inputs!$C$68*COS(($B104))+Inputs!$B$68*SIN(($B104)))-Inputs!$B$5)*(E104-Inputs!$B$5)+((Inputs!$C$68*SIN(($B104))-Inputs!$B$68*COS(($B104)))-Inputs!$B$6)*(F104-Inputs!$B$6))/G104)&gt;G104-Inputs!$B$40),999,(ABS((E104-Inputs!$B$5)*((Inputs!$C$68*SIN(($B104))-Inputs!$B$68*COS(($B104)))-Inputs!$B$6)-(F104-Inputs!$B$6)*((Inputs!$C$68*COS(($B104))+Inputs!$B$68*SIN(($B104)))-Inputs!$B$5))/G104)-IF(((((Inputs!$C$68*COS(($B104))+Inputs!$B$68*SIN(($B104)))-Inputs!$B$5)*(E104-Inputs!$B$5)+((Inputs!$C$68*SIN(($B104))-Inputs!$B$68*COS(($B104)))-Inputs!$B$6)*(F104-Inputs!$B$6))/G104)&lt;$B$16,$B$7/2,$B$8/2)-Inputs!$B$39),IF(OR(Inputs!$C$69=0,((((Inputs!$C$69*COS(($B104))+Inputs!$B$69*SIN(($B104)))-Inputs!$B$5)*(E104-Inputs!$B$5)+((Inputs!$C$69*SIN(($B104))-Inputs!$B$69*COS(($B104)))-Inputs!$B$6)*(F104-Inputs!$B$6))/G104)&lt;0,((((Inputs!$C$69*COS(($B104))+Inputs!$B$69*SIN(($B104)))-Inputs!$B$5)*(E104-Inputs!$B$5)+((Inputs!$C$69*SIN(($B104))-Inputs!$B$69*COS(($B104)))-Inputs!$B$6)*(F104-Inputs!$B$6))/G104)&gt;G104-Inputs!$B$40),999,(ABS((E104-Inputs!$B$5)*((Inputs!$C$69*SIN(($B104))-Inputs!$B$69*COS(($B104)))-Inputs!$B$6)-(F104-Inputs!$B$6)*((Inputs!$C$69*COS(($B104))+Inputs!$B$69*SIN(($B104)))-Inputs!$B$5))/G104)-IF(((((Inputs!$C$69*COS(($B104))+Inputs!$B$69*SIN(($B104)))-Inputs!$B$5)*(E104-Inputs!$B$5)+((Inputs!$C$69*SIN(($B104))-Inputs!$B$69*COS(($B104)))-Inputs!$B$6)*(F104-Inputs!$B$6))/G104)&lt;$B$16,$B$7/2,$B$8/2)-Inputs!$B$39),IF(OR(Inputs!$C$70=0,((((Inputs!$C$70*COS(($B104))+Inputs!$B$70*SIN(($B104)))-Inputs!$B$5)*(E104-Inputs!$B$5)+((Inputs!$C$70*SIN(($B104))-Inputs!$B$70*COS(($B104)))-Inputs!$B$6)*(F104-Inputs!$B$6))/G104)&lt;0,((((Inputs!$C$70*COS(($B104))+Inputs!$B$70*SIN(($B104)))-Inputs!$B$5)*(E104-Inputs!$B$5)+((Inputs!$C$70*SIN(($B104))-Inputs!$B$70*COS(($B104)))-Inputs!$B$6)*(F104-Inputs!$B$6))/G104)&gt;G104-Inputs!$B$40),999,(ABS((E104-Inputs!$B$5)*((Inputs!$C$70*SIN(($B104))-Inputs!$B$70*COS(($B104)))-Inputs!$B$6)-(F104-Inputs!$B$6)*((Inputs!$C$70*COS(($B104))+Inputs!$B$70*SIN(($B104)))-Inputs!$B$5))/G104)-IF(((((Inputs!$C$70*COS(($B104))+Inputs!$B$70*SIN(($B104)))-Inputs!$B$5)*(E104-Inputs!$B$5)+((Inputs!$C$70*SIN(($B104))-Inputs!$B$70*COS(($B104)))-Inputs!$B$6)*(F104-Inputs!$B$6))/G104)&lt;$B$16,$B$7/2,$B$8/2)-Inputs!$B$39),IF(OR(Inputs!$C$71=0,((((Inputs!$C$71*COS(($B104))+Inputs!$B$71*SIN(($B104)))-Inputs!$B$5)*(E104-Inputs!$B$5)+((Inputs!$C$71*SIN(($B104))-Inputs!$B$71*COS(($B104)))-Inputs!$B$6)*(F104-Inputs!$B$6))/G104)&lt;0,((((Inputs!$C$71*COS(($B104))+Inputs!$B$71*SIN(($B104)))-Inputs!$B$5)*(E104-Inputs!$B$5)+((Inputs!$C$71*SIN(($B104))-Inputs!$B$71*COS(($B104)))-Inputs!$B$6)*(F104-Inputs!$B$6))/G104)&gt;G104-Inputs!$B$40),999,(ABS((E104-Inputs!$B$5)*((Inputs!$C$71*SIN(($B104))-Inputs!$B$71*COS(($B104)))-Inputs!$B$6)-(F104-Inputs!$B$6)*((Inputs!$C$71*COS(($B104))+Inputs!$B$71*SIN(($B104)))-Inputs!$B$5))/G104)-IF(((((Inputs!$C$71*COS(($B104))+Inputs!$B$71*SIN(($B104)))-Inputs!$B$5)*(E104-Inputs!$B$5)+((Inputs!$C$71*SIN(($B104))-Inputs!$B$71*COS(($B104)))-Inputs!$B$6)*(F104-Inputs!$B$6))/G104)&lt;$B$16,$B$7/2,$B$8/2)-Inputs!$B$39),IF(OR(Inputs!$C$72=0,((((Inputs!$C$72*COS(($B104))+Inputs!$B$72*SIN(($B104)))-Inputs!$B$5)*(E104-Inputs!$B$5)+((Inputs!$C$72*SIN(($B104))-Inputs!$B$72*COS(($B104)))-Inputs!$B$6)*(F104-Inputs!$B$6))/G104)&lt;0,((((Inputs!$C$72*COS(($B104))+Inputs!$B$72*SIN(($B104)))-Inputs!$B$5)*(E104-Inputs!$B$5)+((Inputs!$C$72*SIN(($B104))-Inputs!$B$72*COS(($B104)))-Inputs!$B$6)*(F104-Inputs!$B$6))/G104)&gt;G104-Inputs!$B$40),999,(ABS((E104-Inputs!$B$5)*((Inputs!$C$72*SIN(($B104))-Inputs!$B$72*COS(($B104)))-Inputs!$B$6)-(F104-Inputs!$B$6)*((Inputs!$C$72*COS(($B104))+Inputs!$B$72*SIN(($B104)))-Inputs!$B$5))/G104)-IF(((((Inputs!$C$72*COS(($B104))+Inputs!$B$72*SIN(($B104)))-Inputs!$B$5)*(E104-Inputs!$B$5)+((Inputs!$C$72*SIN(($B104))-Inputs!$B$72*COS(($B104)))-Inputs!$B$6)*(F104-Inputs!$B$6))/G104)&lt;$B$16,$B$7/2,$B$8/2)-Inputs!$B$39))</f>
        <v>42.74539514</v>
      </c>
      <c r="J104" s="76">
        <f>IF(AND(G104&gt;=$B$14,G104&lt;=$B$15,H104&lt;=Inputs!$B$38,I104&gt;=0,$D104=1),1,0)</f>
        <v>0</v>
      </c>
      <c r="K104" s="29">
        <f>Inputs!$B$11*COS((-$B104))-Inputs!$B$7*SIN((-$B104))</f>
        <v>39.87344603</v>
      </c>
      <c r="L104" s="29">
        <f>Inputs!$B$11*SIN((-$B104))+Inputs!$B$7*COS((-$B104))</f>
        <v>-218.1703218</v>
      </c>
      <c r="M104" s="29">
        <f>SQRT((K104-Inputs!$B$5)^2+(L104-Inputs!$B$6)^2)</f>
        <v>381.2945349</v>
      </c>
      <c r="N104" s="29">
        <f>MAX(MAX(Inputs!$B$5,(Inputs!$B$5+(K104-Inputs!$B$5)*MIN(1,$B$16/M104)))+$B$7/2,MAX((Inputs!$B$5+(K104-Inputs!$B$5)*MIN(1,$B$16/M104)),K104)+Inputs!$B$41)</f>
        <v>291.8</v>
      </c>
      <c r="O104" s="29">
        <f>MIN(IF(OR(Inputs!$C$68=0,((((Inputs!$C$68*COS((-$B104))+Inputs!$B$68*SIN((-$B104)))-Inputs!$B$5)*(K104-Inputs!$B$5)+((Inputs!$C$68*SIN((-$B104))-Inputs!$B$68*COS((-$B104)))-Inputs!$B$6)*(L104-Inputs!$B$6))/M104)&lt;0,((((Inputs!$C$68*COS((-$B104))+Inputs!$B$68*SIN((-$B104)))-Inputs!$B$5)*(K104-Inputs!$B$5)+((Inputs!$C$68*SIN((-$B104))-Inputs!$B$68*COS((-$B104)))-Inputs!$B$6)*(L104-Inputs!$B$6))/M104)&gt;M104-Inputs!$B$40),999,(ABS((K104-Inputs!$B$5)*((Inputs!$C$68*SIN((-$B104))-Inputs!$B$68*COS((-$B104)))-Inputs!$B$6)-(L104-Inputs!$B$6)*((Inputs!$C$68*COS((-$B104))+Inputs!$B$68*SIN((-$B104)))-Inputs!$B$5))/M104)-IF(((((Inputs!$C$68*COS((-$B104))+Inputs!$B$68*SIN((-$B104)))-Inputs!$B$5)*(K104-Inputs!$B$5)+((Inputs!$C$68*SIN((-$B104))-Inputs!$B$68*COS((-$B104)))-Inputs!$B$6)*(L104-Inputs!$B$6))/M104)&lt;$B$16,$B$7/2,$B$8/2)-Inputs!$B$39),IF(OR(Inputs!$C$69=0,((((Inputs!$C$69*COS((-$B104))+Inputs!$B$69*SIN((-$B104)))-Inputs!$B$5)*(K104-Inputs!$B$5)+((Inputs!$C$69*SIN((-$B104))-Inputs!$B$69*COS((-$B104)))-Inputs!$B$6)*(L104-Inputs!$B$6))/M104)&lt;0,((((Inputs!$C$69*COS((-$B104))+Inputs!$B$69*SIN((-$B104)))-Inputs!$B$5)*(K104-Inputs!$B$5)+((Inputs!$C$69*SIN((-$B104))-Inputs!$B$69*COS((-$B104)))-Inputs!$B$6)*(L104-Inputs!$B$6))/M104)&gt;M104-Inputs!$B$40),999,(ABS((K104-Inputs!$B$5)*((Inputs!$C$69*SIN((-$B104))-Inputs!$B$69*COS((-$B104)))-Inputs!$B$6)-(L104-Inputs!$B$6)*((Inputs!$C$69*COS((-$B104))+Inputs!$B$69*SIN((-$B104)))-Inputs!$B$5))/M104)-IF(((((Inputs!$C$69*COS((-$B104))+Inputs!$B$69*SIN((-$B104)))-Inputs!$B$5)*(K104-Inputs!$B$5)+((Inputs!$C$69*SIN((-$B104))-Inputs!$B$69*COS((-$B104)))-Inputs!$B$6)*(L104-Inputs!$B$6))/M104)&lt;$B$16,$B$7/2,$B$8/2)-Inputs!$B$39),IF(OR(Inputs!$C$70=0,((((Inputs!$C$70*COS((-$B104))+Inputs!$B$70*SIN((-$B104)))-Inputs!$B$5)*(K104-Inputs!$B$5)+((Inputs!$C$70*SIN((-$B104))-Inputs!$B$70*COS((-$B104)))-Inputs!$B$6)*(L104-Inputs!$B$6))/M104)&lt;0,((((Inputs!$C$70*COS((-$B104))+Inputs!$B$70*SIN((-$B104)))-Inputs!$B$5)*(K104-Inputs!$B$5)+((Inputs!$C$70*SIN((-$B104))-Inputs!$B$70*COS((-$B104)))-Inputs!$B$6)*(L104-Inputs!$B$6))/M104)&gt;M104-Inputs!$B$40),999,(ABS((K104-Inputs!$B$5)*((Inputs!$C$70*SIN((-$B104))-Inputs!$B$70*COS((-$B104)))-Inputs!$B$6)-(L104-Inputs!$B$6)*((Inputs!$C$70*COS((-$B104))+Inputs!$B$70*SIN((-$B104)))-Inputs!$B$5))/M104)-IF(((((Inputs!$C$70*COS((-$B104))+Inputs!$B$70*SIN((-$B104)))-Inputs!$B$5)*(K104-Inputs!$B$5)+((Inputs!$C$70*SIN((-$B104))-Inputs!$B$70*COS((-$B104)))-Inputs!$B$6)*(L104-Inputs!$B$6))/M104)&lt;$B$16,$B$7/2,$B$8/2)-Inputs!$B$39),IF(OR(Inputs!$C$71=0,((((Inputs!$C$71*COS((-$B104))+Inputs!$B$71*SIN((-$B104)))-Inputs!$B$5)*(K104-Inputs!$B$5)+((Inputs!$C$71*SIN((-$B104))-Inputs!$B$71*COS((-$B104)))-Inputs!$B$6)*(L104-Inputs!$B$6))/M104)&lt;0,((((Inputs!$C$71*COS((-$B104))+Inputs!$B$71*SIN((-$B104)))-Inputs!$B$5)*(K104-Inputs!$B$5)+((Inputs!$C$71*SIN((-$B104))-Inputs!$B$71*COS((-$B104)))-Inputs!$B$6)*(L104-Inputs!$B$6))/M104)&gt;M104-Inputs!$B$40),999,(ABS((K104-Inputs!$B$5)*((Inputs!$C$71*SIN((-$B104))-Inputs!$B$71*COS((-$B104)))-Inputs!$B$6)-(L104-Inputs!$B$6)*((Inputs!$C$71*COS((-$B104))+Inputs!$B$71*SIN((-$B104)))-Inputs!$B$5))/M104)-IF(((((Inputs!$C$71*COS((-$B104))+Inputs!$B$71*SIN((-$B104)))-Inputs!$B$5)*(K104-Inputs!$B$5)+((Inputs!$C$71*SIN((-$B104))-Inputs!$B$71*COS((-$B104)))-Inputs!$B$6)*(L104-Inputs!$B$6))/M104)&lt;$B$16,$B$7/2,$B$8/2)-Inputs!$B$39),IF(OR(Inputs!$C$72=0,((((Inputs!$C$72*COS((-$B104))+Inputs!$B$72*SIN((-$B104)))-Inputs!$B$5)*(K104-Inputs!$B$5)+((Inputs!$C$72*SIN((-$B104))-Inputs!$B$72*COS((-$B104)))-Inputs!$B$6)*(L104-Inputs!$B$6))/M104)&lt;0,((((Inputs!$C$72*COS((-$B104))+Inputs!$B$72*SIN((-$B104)))-Inputs!$B$5)*(K104-Inputs!$B$5)+((Inputs!$C$72*SIN((-$B104))-Inputs!$B$72*COS((-$B104)))-Inputs!$B$6)*(L104-Inputs!$B$6))/M104)&gt;M104-Inputs!$B$40),999,(ABS((K104-Inputs!$B$5)*((Inputs!$C$72*SIN((-$B104))-Inputs!$B$72*COS((-$B104)))-Inputs!$B$6)-(L104-Inputs!$B$6)*((Inputs!$C$72*COS((-$B104))+Inputs!$B$72*SIN((-$B104)))-Inputs!$B$5))/M104)-IF(((((Inputs!$C$72*COS((-$B104))+Inputs!$B$72*SIN((-$B104)))-Inputs!$B$5)*(K104-Inputs!$B$5)+((Inputs!$C$72*SIN((-$B104))-Inputs!$B$72*COS((-$B104)))-Inputs!$B$6)*(L104-Inputs!$B$6))/M104)&lt;$B$16,$B$7/2,$B$8/2)-Inputs!$B$39))</f>
        <v>5.514842416</v>
      </c>
      <c r="P104" s="76">
        <f>IF(AND(M104&gt;=$B$14,M104&lt;=$B$15,N104&lt;=Inputs!$B$38,O104&gt;=0,$D104=1),1,0)</f>
        <v>0</v>
      </c>
    </row>
    <row r="105" ht="15.75" customHeight="1">
      <c r="A105" s="23">
        <v>15.5</v>
      </c>
      <c r="B105" s="40">
        <f t="shared" si="4"/>
        <v>0.2705260341</v>
      </c>
      <c r="C105" s="29">
        <f>MAX(Inputs!$C$68*COS($B105)+Inputs!$B$68*ABS(SIN($B105)),Inputs!$C$69*COS($B105)+Inputs!$B$69*ABS(SIN($B105)),Inputs!$C$70*COS($B105)+Inputs!$B$70*ABS(SIN($B105)),Inputs!$C$71*COS($B105)+Inputs!$B$71*ABS(SIN($B105)),Inputs!$C$72*COS($B105)+Inputs!$B$72*ABS(SIN($B105)))</f>
        <v>182.6688671</v>
      </c>
      <c r="D105" s="108">
        <f>IF(C105&lt;=Inputs!$B$38,1,0)</f>
        <v>1</v>
      </c>
      <c r="E105" s="29">
        <f>Inputs!$B$11*COS(($B105))-Inputs!$B$7*SIN(($B105))</f>
        <v>145.8164723</v>
      </c>
      <c r="F105" s="29">
        <f>Inputs!$B$11*SIN(($B105))+Inputs!$B$7*COS(($B105))</f>
        <v>-167.1099561</v>
      </c>
      <c r="G105" s="29">
        <f>SQRT((E105-Inputs!$B$5)^2+(F105-Inputs!$B$6)^2)</f>
        <v>286.7088002</v>
      </c>
      <c r="H105" s="29">
        <f>MAX(MAX(Inputs!$B$5,(Inputs!$B$5+(E105-Inputs!$B$5)*MIN(1,$B$16/G105)))+$B$7/2,MAX((Inputs!$B$5+(E105-Inputs!$B$5)*MIN(1,$B$16/G105)),E105)+Inputs!$B$41)</f>
        <v>291.8</v>
      </c>
      <c r="I105" s="29">
        <f>MIN(IF(OR(Inputs!$C$68=0,((((Inputs!$C$68*COS(($B105))+Inputs!$B$68*SIN(($B105)))-Inputs!$B$5)*(E105-Inputs!$B$5)+((Inputs!$C$68*SIN(($B105))-Inputs!$B$68*COS(($B105)))-Inputs!$B$6)*(F105-Inputs!$B$6))/G105)&lt;0,((((Inputs!$C$68*COS(($B105))+Inputs!$B$68*SIN(($B105)))-Inputs!$B$5)*(E105-Inputs!$B$5)+((Inputs!$C$68*SIN(($B105))-Inputs!$B$68*COS(($B105)))-Inputs!$B$6)*(F105-Inputs!$B$6))/G105)&gt;G105-Inputs!$B$40),999,(ABS((E105-Inputs!$B$5)*((Inputs!$C$68*SIN(($B105))-Inputs!$B$68*COS(($B105)))-Inputs!$B$6)-(F105-Inputs!$B$6)*((Inputs!$C$68*COS(($B105))+Inputs!$B$68*SIN(($B105)))-Inputs!$B$5))/G105)-IF(((((Inputs!$C$68*COS(($B105))+Inputs!$B$68*SIN(($B105)))-Inputs!$B$5)*(E105-Inputs!$B$5)+((Inputs!$C$68*SIN(($B105))-Inputs!$B$68*COS(($B105)))-Inputs!$B$6)*(F105-Inputs!$B$6))/G105)&lt;$B$16,$B$7/2,$B$8/2)-Inputs!$B$39),IF(OR(Inputs!$C$69=0,((((Inputs!$C$69*COS(($B105))+Inputs!$B$69*SIN(($B105)))-Inputs!$B$5)*(E105-Inputs!$B$5)+((Inputs!$C$69*SIN(($B105))-Inputs!$B$69*COS(($B105)))-Inputs!$B$6)*(F105-Inputs!$B$6))/G105)&lt;0,((((Inputs!$C$69*COS(($B105))+Inputs!$B$69*SIN(($B105)))-Inputs!$B$5)*(E105-Inputs!$B$5)+((Inputs!$C$69*SIN(($B105))-Inputs!$B$69*COS(($B105)))-Inputs!$B$6)*(F105-Inputs!$B$6))/G105)&gt;G105-Inputs!$B$40),999,(ABS((E105-Inputs!$B$5)*((Inputs!$C$69*SIN(($B105))-Inputs!$B$69*COS(($B105)))-Inputs!$B$6)-(F105-Inputs!$B$6)*((Inputs!$C$69*COS(($B105))+Inputs!$B$69*SIN(($B105)))-Inputs!$B$5))/G105)-IF(((((Inputs!$C$69*COS(($B105))+Inputs!$B$69*SIN(($B105)))-Inputs!$B$5)*(E105-Inputs!$B$5)+((Inputs!$C$69*SIN(($B105))-Inputs!$B$69*COS(($B105)))-Inputs!$B$6)*(F105-Inputs!$B$6))/G105)&lt;$B$16,$B$7/2,$B$8/2)-Inputs!$B$39),IF(OR(Inputs!$C$70=0,((((Inputs!$C$70*COS(($B105))+Inputs!$B$70*SIN(($B105)))-Inputs!$B$5)*(E105-Inputs!$B$5)+((Inputs!$C$70*SIN(($B105))-Inputs!$B$70*COS(($B105)))-Inputs!$B$6)*(F105-Inputs!$B$6))/G105)&lt;0,((((Inputs!$C$70*COS(($B105))+Inputs!$B$70*SIN(($B105)))-Inputs!$B$5)*(E105-Inputs!$B$5)+((Inputs!$C$70*SIN(($B105))-Inputs!$B$70*COS(($B105)))-Inputs!$B$6)*(F105-Inputs!$B$6))/G105)&gt;G105-Inputs!$B$40),999,(ABS((E105-Inputs!$B$5)*((Inputs!$C$70*SIN(($B105))-Inputs!$B$70*COS(($B105)))-Inputs!$B$6)-(F105-Inputs!$B$6)*((Inputs!$C$70*COS(($B105))+Inputs!$B$70*SIN(($B105)))-Inputs!$B$5))/G105)-IF(((((Inputs!$C$70*COS(($B105))+Inputs!$B$70*SIN(($B105)))-Inputs!$B$5)*(E105-Inputs!$B$5)+((Inputs!$C$70*SIN(($B105))-Inputs!$B$70*COS(($B105)))-Inputs!$B$6)*(F105-Inputs!$B$6))/G105)&lt;$B$16,$B$7/2,$B$8/2)-Inputs!$B$39),IF(OR(Inputs!$C$71=0,((((Inputs!$C$71*COS(($B105))+Inputs!$B$71*SIN(($B105)))-Inputs!$B$5)*(E105-Inputs!$B$5)+((Inputs!$C$71*SIN(($B105))-Inputs!$B$71*COS(($B105)))-Inputs!$B$6)*(F105-Inputs!$B$6))/G105)&lt;0,((((Inputs!$C$71*COS(($B105))+Inputs!$B$71*SIN(($B105)))-Inputs!$B$5)*(E105-Inputs!$B$5)+((Inputs!$C$71*SIN(($B105))-Inputs!$B$71*COS(($B105)))-Inputs!$B$6)*(F105-Inputs!$B$6))/G105)&gt;G105-Inputs!$B$40),999,(ABS((E105-Inputs!$B$5)*((Inputs!$C$71*SIN(($B105))-Inputs!$B$71*COS(($B105)))-Inputs!$B$6)-(F105-Inputs!$B$6)*((Inputs!$C$71*COS(($B105))+Inputs!$B$71*SIN(($B105)))-Inputs!$B$5))/G105)-IF(((((Inputs!$C$71*COS(($B105))+Inputs!$B$71*SIN(($B105)))-Inputs!$B$5)*(E105-Inputs!$B$5)+((Inputs!$C$71*SIN(($B105))-Inputs!$B$71*COS(($B105)))-Inputs!$B$6)*(F105-Inputs!$B$6))/G105)&lt;$B$16,$B$7/2,$B$8/2)-Inputs!$B$39),IF(OR(Inputs!$C$72=0,((((Inputs!$C$72*COS(($B105))+Inputs!$B$72*SIN(($B105)))-Inputs!$B$5)*(E105-Inputs!$B$5)+((Inputs!$C$72*SIN(($B105))-Inputs!$B$72*COS(($B105)))-Inputs!$B$6)*(F105-Inputs!$B$6))/G105)&lt;0,((((Inputs!$C$72*COS(($B105))+Inputs!$B$72*SIN(($B105)))-Inputs!$B$5)*(E105-Inputs!$B$5)+((Inputs!$C$72*SIN(($B105))-Inputs!$B$72*COS(($B105)))-Inputs!$B$6)*(F105-Inputs!$B$6))/G105)&gt;G105-Inputs!$B$40),999,(ABS((E105-Inputs!$B$5)*((Inputs!$C$72*SIN(($B105))-Inputs!$B$72*COS(($B105)))-Inputs!$B$6)-(F105-Inputs!$B$6)*((Inputs!$C$72*COS(($B105))+Inputs!$B$72*SIN(($B105)))-Inputs!$B$5))/G105)-IF(((((Inputs!$C$72*COS(($B105))+Inputs!$B$72*SIN(($B105)))-Inputs!$B$5)*(E105-Inputs!$B$5)+((Inputs!$C$72*SIN(($B105))-Inputs!$B$72*COS(($B105)))-Inputs!$B$6)*(F105-Inputs!$B$6))/G105)&lt;$B$16,$B$7/2,$B$8/2)-Inputs!$B$39))</f>
        <v>42.92902792</v>
      </c>
      <c r="J105" s="76">
        <f>IF(AND(G105&gt;=$B$14,G105&lt;=$B$15,H105&lt;=Inputs!$B$38,I105&gt;=0,$D105=1),1,0)</f>
        <v>0</v>
      </c>
      <c r="K105" s="29">
        <f>Inputs!$B$11*COS((-$B105))-Inputs!$B$7*SIN((-$B105))</f>
        <v>38.92112188</v>
      </c>
      <c r="L105" s="29">
        <f>Inputs!$B$11*SIN((-$B105))+Inputs!$B$7*COS((-$B105))</f>
        <v>-218.3422252</v>
      </c>
      <c r="M105" s="29">
        <f>SQRT((K105-Inputs!$B$5)^2+(L105-Inputs!$B$6)^2)</f>
        <v>381.9634343</v>
      </c>
      <c r="N105" s="29">
        <f>MAX(MAX(Inputs!$B$5,(Inputs!$B$5+(K105-Inputs!$B$5)*MIN(1,$B$16/M105)))+$B$7/2,MAX((Inputs!$B$5+(K105-Inputs!$B$5)*MIN(1,$B$16/M105)),K105)+Inputs!$B$41)</f>
        <v>291.8</v>
      </c>
      <c r="O105" s="29">
        <f>MIN(IF(OR(Inputs!$C$68=0,((((Inputs!$C$68*COS((-$B105))+Inputs!$B$68*SIN((-$B105)))-Inputs!$B$5)*(K105-Inputs!$B$5)+((Inputs!$C$68*SIN((-$B105))-Inputs!$B$68*COS((-$B105)))-Inputs!$B$6)*(L105-Inputs!$B$6))/M105)&lt;0,((((Inputs!$C$68*COS((-$B105))+Inputs!$B$68*SIN((-$B105)))-Inputs!$B$5)*(K105-Inputs!$B$5)+((Inputs!$C$68*SIN((-$B105))-Inputs!$B$68*COS((-$B105)))-Inputs!$B$6)*(L105-Inputs!$B$6))/M105)&gt;M105-Inputs!$B$40),999,(ABS((K105-Inputs!$B$5)*((Inputs!$C$68*SIN((-$B105))-Inputs!$B$68*COS((-$B105)))-Inputs!$B$6)-(L105-Inputs!$B$6)*((Inputs!$C$68*COS((-$B105))+Inputs!$B$68*SIN((-$B105)))-Inputs!$B$5))/M105)-IF(((((Inputs!$C$68*COS((-$B105))+Inputs!$B$68*SIN((-$B105)))-Inputs!$B$5)*(K105-Inputs!$B$5)+((Inputs!$C$68*SIN((-$B105))-Inputs!$B$68*COS((-$B105)))-Inputs!$B$6)*(L105-Inputs!$B$6))/M105)&lt;$B$16,$B$7/2,$B$8/2)-Inputs!$B$39),IF(OR(Inputs!$C$69=0,((((Inputs!$C$69*COS((-$B105))+Inputs!$B$69*SIN((-$B105)))-Inputs!$B$5)*(K105-Inputs!$B$5)+((Inputs!$C$69*SIN((-$B105))-Inputs!$B$69*COS((-$B105)))-Inputs!$B$6)*(L105-Inputs!$B$6))/M105)&lt;0,((((Inputs!$C$69*COS((-$B105))+Inputs!$B$69*SIN((-$B105)))-Inputs!$B$5)*(K105-Inputs!$B$5)+((Inputs!$C$69*SIN((-$B105))-Inputs!$B$69*COS((-$B105)))-Inputs!$B$6)*(L105-Inputs!$B$6))/M105)&gt;M105-Inputs!$B$40),999,(ABS((K105-Inputs!$B$5)*((Inputs!$C$69*SIN((-$B105))-Inputs!$B$69*COS((-$B105)))-Inputs!$B$6)-(L105-Inputs!$B$6)*((Inputs!$C$69*COS((-$B105))+Inputs!$B$69*SIN((-$B105)))-Inputs!$B$5))/M105)-IF(((((Inputs!$C$69*COS((-$B105))+Inputs!$B$69*SIN((-$B105)))-Inputs!$B$5)*(K105-Inputs!$B$5)+((Inputs!$C$69*SIN((-$B105))-Inputs!$B$69*COS((-$B105)))-Inputs!$B$6)*(L105-Inputs!$B$6))/M105)&lt;$B$16,$B$7/2,$B$8/2)-Inputs!$B$39),IF(OR(Inputs!$C$70=0,((((Inputs!$C$70*COS((-$B105))+Inputs!$B$70*SIN((-$B105)))-Inputs!$B$5)*(K105-Inputs!$B$5)+((Inputs!$C$70*SIN((-$B105))-Inputs!$B$70*COS((-$B105)))-Inputs!$B$6)*(L105-Inputs!$B$6))/M105)&lt;0,((((Inputs!$C$70*COS((-$B105))+Inputs!$B$70*SIN((-$B105)))-Inputs!$B$5)*(K105-Inputs!$B$5)+((Inputs!$C$70*SIN((-$B105))-Inputs!$B$70*COS((-$B105)))-Inputs!$B$6)*(L105-Inputs!$B$6))/M105)&gt;M105-Inputs!$B$40),999,(ABS((K105-Inputs!$B$5)*((Inputs!$C$70*SIN((-$B105))-Inputs!$B$70*COS((-$B105)))-Inputs!$B$6)-(L105-Inputs!$B$6)*((Inputs!$C$70*COS((-$B105))+Inputs!$B$70*SIN((-$B105)))-Inputs!$B$5))/M105)-IF(((((Inputs!$C$70*COS((-$B105))+Inputs!$B$70*SIN((-$B105)))-Inputs!$B$5)*(K105-Inputs!$B$5)+((Inputs!$C$70*SIN((-$B105))-Inputs!$B$70*COS((-$B105)))-Inputs!$B$6)*(L105-Inputs!$B$6))/M105)&lt;$B$16,$B$7/2,$B$8/2)-Inputs!$B$39),IF(OR(Inputs!$C$71=0,((((Inputs!$C$71*COS((-$B105))+Inputs!$B$71*SIN((-$B105)))-Inputs!$B$5)*(K105-Inputs!$B$5)+((Inputs!$C$71*SIN((-$B105))-Inputs!$B$71*COS((-$B105)))-Inputs!$B$6)*(L105-Inputs!$B$6))/M105)&lt;0,((((Inputs!$C$71*COS((-$B105))+Inputs!$B$71*SIN((-$B105)))-Inputs!$B$5)*(K105-Inputs!$B$5)+((Inputs!$C$71*SIN((-$B105))-Inputs!$B$71*COS((-$B105)))-Inputs!$B$6)*(L105-Inputs!$B$6))/M105)&gt;M105-Inputs!$B$40),999,(ABS((K105-Inputs!$B$5)*((Inputs!$C$71*SIN((-$B105))-Inputs!$B$71*COS((-$B105)))-Inputs!$B$6)-(L105-Inputs!$B$6)*((Inputs!$C$71*COS((-$B105))+Inputs!$B$71*SIN((-$B105)))-Inputs!$B$5))/M105)-IF(((((Inputs!$C$71*COS((-$B105))+Inputs!$B$71*SIN((-$B105)))-Inputs!$B$5)*(K105-Inputs!$B$5)+((Inputs!$C$71*SIN((-$B105))-Inputs!$B$71*COS((-$B105)))-Inputs!$B$6)*(L105-Inputs!$B$6))/M105)&lt;$B$16,$B$7/2,$B$8/2)-Inputs!$B$39),IF(OR(Inputs!$C$72=0,((((Inputs!$C$72*COS((-$B105))+Inputs!$B$72*SIN((-$B105)))-Inputs!$B$5)*(K105-Inputs!$B$5)+((Inputs!$C$72*SIN((-$B105))-Inputs!$B$72*COS((-$B105)))-Inputs!$B$6)*(L105-Inputs!$B$6))/M105)&lt;0,((((Inputs!$C$72*COS((-$B105))+Inputs!$B$72*SIN((-$B105)))-Inputs!$B$5)*(K105-Inputs!$B$5)+((Inputs!$C$72*SIN((-$B105))-Inputs!$B$72*COS((-$B105)))-Inputs!$B$6)*(L105-Inputs!$B$6))/M105)&gt;M105-Inputs!$B$40),999,(ABS((K105-Inputs!$B$5)*((Inputs!$C$72*SIN((-$B105))-Inputs!$B$72*COS((-$B105)))-Inputs!$B$6)-(L105-Inputs!$B$6)*((Inputs!$C$72*COS((-$B105))+Inputs!$B$72*SIN((-$B105)))-Inputs!$B$5))/M105)-IF(((((Inputs!$C$72*COS((-$B105))+Inputs!$B$72*SIN((-$B105)))-Inputs!$B$5)*(K105-Inputs!$B$5)+((Inputs!$C$72*SIN((-$B105))-Inputs!$B$72*COS((-$B105)))-Inputs!$B$6)*(L105-Inputs!$B$6))/M105)&lt;$B$16,$B$7/2,$B$8/2)-Inputs!$B$39))</f>
        <v>5.183565417</v>
      </c>
      <c r="P105" s="76">
        <f>IF(AND(M105&gt;=$B$14,M105&lt;=$B$15,N105&lt;=Inputs!$B$38,O105&gt;=0,$D105=1),1,0)</f>
        <v>0</v>
      </c>
    </row>
    <row r="106" ht="15.75" customHeight="1">
      <c r="A106" s="23">
        <v>15.75</v>
      </c>
      <c r="B106" s="40">
        <f t="shared" si="4"/>
        <v>0.2748893572</v>
      </c>
      <c r="C106" s="29">
        <f>MAX(Inputs!$C$68*COS($B106)+Inputs!$B$68*ABS(SIN($B106)),Inputs!$C$69*COS($B106)+Inputs!$B$69*ABS(SIN($B106)),Inputs!$C$70*COS($B106)+Inputs!$B$70*ABS(SIN($B106)),Inputs!$C$71*COS($B106)+Inputs!$B$71*ABS(SIN($B106)),Inputs!$C$72*COS($B106)+Inputs!$B$72*ABS(SIN($B106)))</f>
        <v>184.2512994</v>
      </c>
      <c r="D106" s="108">
        <f>IF(C106&lt;=Inputs!$B$38,1,0)</f>
        <v>1</v>
      </c>
      <c r="E106" s="29">
        <f>Inputs!$B$11*COS(($B106))-Inputs!$B$7*SIN(($B106))</f>
        <v>146.5442367</v>
      </c>
      <c r="F106" s="29">
        <f>Inputs!$B$11*SIN(($B106))+Inputs!$B$7*COS(($B106))</f>
        <v>-166.472123</v>
      </c>
      <c r="G106" s="29">
        <f>SQRT((E106-Inputs!$B$5)^2+(F106-Inputs!$B$6)^2)</f>
        <v>285.8504632</v>
      </c>
      <c r="H106" s="29">
        <f>MAX(MAX(Inputs!$B$5,(Inputs!$B$5+(E106-Inputs!$B$5)*MIN(1,$B$16/G106)))+$B$7/2,MAX((Inputs!$B$5+(E106-Inputs!$B$5)*MIN(1,$B$16/G106)),E106)+Inputs!$B$41)</f>
        <v>291.8</v>
      </c>
      <c r="I106" s="29">
        <f>MIN(IF(OR(Inputs!$C$68=0,((((Inputs!$C$68*COS(($B106))+Inputs!$B$68*SIN(($B106)))-Inputs!$B$5)*(E106-Inputs!$B$5)+((Inputs!$C$68*SIN(($B106))-Inputs!$B$68*COS(($B106)))-Inputs!$B$6)*(F106-Inputs!$B$6))/G106)&lt;0,((((Inputs!$C$68*COS(($B106))+Inputs!$B$68*SIN(($B106)))-Inputs!$B$5)*(E106-Inputs!$B$5)+((Inputs!$C$68*SIN(($B106))-Inputs!$B$68*COS(($B106)))-Inputs!$B$6)*(F106-Inputs!$B$6))/G106)&gt;G106-Inputs!$B$40),999,(ABS((E106-Inputs!$B$5)*((Inputs!$C$68*SIN(($B106))-Inputs!$B$68*COS(($B106)))-Inputs!$B$6)-(F106-Inputs!$B$6)*((Inputs!$C$68*COS(($B106))+Inputs!$B$68*SIN(($B106)))-Inputs!$B$5))/G106)-IF(((((Inputs!$C$68*COS(($B106))+Inputs!$B$68*SIN(($B106)))-Inputs!$B$5)*(E106-Inputs!$B$5)+((Inputs!$C$68*SIN(($B106))-Inputs!$B$68*COS(($B106)))-Inputs!$B$6)*(F106-Inputs!$B$6))/G106)&lt;$B$16,$B$7/2,$B$8/2)-Inputs!$B$39),IF(OR(Inputs!$C$69=0,((((Inputs!$C$69*COS(($B106))+Inputs!$B$69*SIN(($B106)))-Inputs!$B$5)*(E106-Inputs!$B$5)+((Inputs!$C$69*SIN(($B106))-Inputs!$B$69*COS(($B106)))-Inputs!$B$6)*(F106-Inputs!$B$6))/G106)&lt;0,((((Inputs!$C$69*COS(($B106))+Inputs!$B$69*SIN(($B106)))-Inputs!$B$5)*(E106-Inputs!$B$5)+((Inputs!$C$69*SIN(($B106))-Inputs!$B$69*COS(($B106)))-Inputs!$B$6)*(F106-Inputs!$B$6))/G106)&gt;G106-Inputs!$B$40),999,(ABS((E106-Inputs!$B$5)*((Inputs!$C$69*SIN(($B106))-Inputs!$B$69*COS(($B106)))-Inputs!$B$6)-(F106-Inputs!$B$6)*((Inputs!$C$69*COS(($B106))+Inputs!$B$69*SIN(($B106)))-Inputs!$B$5))/G106)-IF(((((Inputs!$C$69*COS(($B106))+Inputs!$B$69*SIN(($B106)))-Inputs!$B$5)*(E106-Inputs!$B$5)+((Inputs!$C$69*SIN(($B106))-Inputs!$B$69*COS(($B106)))-Inputs!$B$6)*(F106-Inputs!$B$6))/G106)&lt;$B$16,$B$7/2,$B$8/2)-Inputs!$B$39),IF(OR(Inputs!$C$70=0,((((Inputs!$C$70*COS(($B106))+Inputs!$B$70*SIN(($B106)))-Inputs!$B$5)*(E106-Inputs!$B$5)+((Inputs!$C$70*SIN(($B106))-Inputs!$B$70*COS(($B106)))-Inputs!$B$6)*(F106-Inputs!$B$6))/G106)&lt;0,((((Inputs!$C$70*COS(($B106))+Inputs!$B$70*SIN(($B106)))-Inputs!$B$5)*(E106-Inputs!$B$5)+((Inputs!$C$70*SIN(($B106))-Inputs!$B$70*COS(($B106)))-Inputs!$B$6)*(F106-Inputs!$B$6))/G106)&gt;G106-Inputs!$B$40),999,(ABS((E106-Inputs!$B$5)*((Inputs!$C$70*SIN(($B106))-Inputs!$B$70*COS(($B106)))-Inputs!$B$6)-(F106-Inputs!$B$6)*((Inputs!$C$70*COS(($B106))+Inputs!$B$70*SIN(($B106)))-Inputs!$B$5))/G106)-IF(((((Inputs!$C$70*COS(($B106))+Inputs!$B$70*SIN(($B106)))-Inputs!$B$5)*(E106-Inputs!$B$5)+((Inputs!$C$70*SIN(($B106))-Inputs!$B$70*COS(($B106)))-Inputs!$B$6)*(F106-Inputs!$B$6))/G106)&lt;$B$16,$B$7/2,$B$8/2)-Inputs!$B$39),IF(OR(Inputs!$C$71=0,((((Inputs!$C$71*COS(($B106))+Inputs!$B$71*SIN(($B106)))-Inputs!$B$5)*(E106-Inputs!$B$5)+((Inputs!$C$71*SIN(($B106))-Inputs!$B$71*COS(($B106)))-Inputs!$B$6)*(F106-Inputs!$B$6))/G106)&lt;0,((((Inputs!$C$71*COS(($B106))+Inputs!$B$71*SIN(($B106)))-Inputs!$B$5)*(E106-Inputs!$B$5)+((Inputs!$C$71*SIN(($B106))-Inputs!$B$71*COS(($B106)))-Inputs!$B$6)*(F106-Inputs!$B$6))/G106)&gt;G106-Inputs!$B$40),999,(ABS((E106-Inputs!$B$5)*((Inputs!$C$71*SIN(($B106))-Inputs!$B$71*COS(($B106)))-Inputs!$B$6)-(F106-Inputs!$B$6)*((Inputs!$C$71*COS(($B106))+Inputs!$B$71*SIN(($B106)))-Inputs!$B$5))/G106)-IF(((((Inputs!$C$71*COS(($B106))+Inputs!$B$71*SIN(($B106)))-Inputs!$B$5)*(E106-Inputs!$B$5)+((Inputs!$C$71*SIN(($B106))-Inputs!$B$71*COS(($B106)))-Inputs!$B$6)*(F106-Inputs!$B$6))/G106)&lt;$B$16,$B$7/2,$B$8/2)-Inputs!$B$39),IF(OR(Inputs!$C$72=0,((((Inputs!$C$72*COS(($B106))+Inputs!$B$72*SIN(($B106)))-Inputs!$B$5)*(E106-Inputs!$B$5)+((Inputs!$C$72*SIN(($B106))-Inputs!$B$72*COS(($B106)))-Inputs!$B$6)*(F106-Inputs!$B$6))/G106)&lt;0,((((Inputs!$C$72*COS(($B106))+Inputs!$B$72*SIN(($B106)))-Inputs!$B$5)*(E106-Inputs!$B$5)+((Inputs!$C$72*SIN(($B106))-Inputs!$B$72*COS(($B106)))-Inputs!$B$6)*(F106-Inputs!$B$6))/G106)&gt;G106-Inputs!$B$40),999,(ABS((E106-Inputs!$B$5)*((Inputs!$C$72*SIN(($B106))-Inputs!$B$72*COS(($B106)))-Inputs!$B$6)-(F106-Inputs!$B$6)*((Inputs!$C$72*COS(($B106))+Inputs!$B$72*SIN(($B106)))-Inputs!$B$5))/G106)-IF(((((Inputs!$C$72*COS(($B106))+Inputs!$B$72*SIN(($B106)))-Inputs!$B$5)*(E106-Inputs!$B$5)+((Inputs!$C$72*SIN(($B106))-Inputs!$B$72*COS(($B106)))-Inputs!$B$6)*(F106-Inputs!$B$6))/G106)&lt;$B$16,$B$7/2,$B$8/2)-Inputs!$B$39))</f>
        <v>43.11221518</v>
      </c>
      <c r="J106" s="76">
        <f>IF(AND(G106&gt;=$B$14,G106&lt;=$B$15,H106&lt;=Inputs!$B$38,I106&gt;=0,$D106=1),1,0)</f>
        <v>0</v>
      </c>
      <c r="K106" s="29">
        <f>Inputs!$B$11*COS((-$B106))-Inputs!$B$7*SIN((-$B106))</f>
        <v>37.96805672</v>
      </c>
      <c r="L106" s="29">
        <f>Inputs!$B$11*SIN((-$B106))+Inputs!$B$7*COS((-$B106))</f>
        <v>-218.5099716</v>
      </c>
      <c r="M106" s="29">
        <f>SQRT((K106-Inputs!$B$5)^2+(L106-Inputs!$B$6)^2)</f>
        <v>382.630562</v>
      </c>
      <c r="N106" s="29">
        <f>MAX(MAX(Inputs!$B$5,(Inputs!$B$5+(K106-Inputs!$B$5)*MIN(1,$B$16/M106)))+$B$7/2,MAX((Inputs!$B$5+(K106-Inputs!$B$5)*MIN(1,$B$16/M106)),K106)+Inputs!$B$41)</f>
        <v>291.8</v>
      </c>
      <c r="O106" s="29">
        <f>MIN(IF(OR(Inputs!$C$68=0,((((Inputs!$C$68*COS((-$B106))+Inputs!$B$68*SIN((-$B106)))-Inputs!$B$5)*(K106-Inputs!$B$5)+((Inputs!$C$68*SIN((-$B106))-Inputs!$B$68*COS((-$B106)))-Inputs!$B$6)*(L106-Inputs!$B$6))/M106)&lt;0,((((Inputs!$C$68*COS((-$B106))+Inputs!$B$68*SIN((-$B106)))-Inputs!$B$5)*(K106-Inputs!$B$5)+((Inputs!$C$68*SIN((-$B106))-Inputs!$B$68*COS((-$B106)))-Inputs!$B$6)*(L106-Inputs!$B$6))/M106)&gt;M106-Inputs!$B$40),999,(ABS((K106-Inputs!$B$5)*((Inputs!$C$68*SIN((-$B106))-Inputs!$B$68*COS((-$B106)))-Inputs!$B$6)-(L106-Inputs!$B$6)*((Inputs!$C$68*COS((-$B106))+Inputs!$B$68*SIN((-$B106)))-Inputs!$B$5))/M106)-IF(((((Inputs!$C$68*COS((-$B106))+Inputs!$B$68*SIN((-$B106)))-Inputs!$B$5)*(K106-Inputs!$B$5)+((Inputs!$C$68*SIN((-$B106))-Inputs!$B$68*COS((-$B106)))-Inputs!$B$6)*(L106-Inputs!$B$6))/M106)&lt;$B$16,$B$7/2,$B$8/2)-Inputs!$B$39),IF(OR(Inputs!$C$69=0,((((Inputs!$C$69*COS((-$B106))+Inputs!$B$69*SIN((-$B106)))-Inputs!$B$5)*(K106-Inputs!$B$5)+((Inputs!$C$69*SIN((-$B106))-Inputs!$B$69*COS((-$B106)))-Inputs!$B$6)*(L106-Inputs!$B$6))/M106)&lt;0,((((Inputs!$C$69*COS((-$B106))+Inputs!$B$69*SIN((-$B106)))-Inputs!$B$5)*(K106-Inputs!$B$5)+((Inputs!$C$69*SIN((-$B106))-Inputs!$B$69*COS((-$B106)))-Inputs!$B$6)*(L106-Inputs!$B$6))/M106)&gt;M106-Inputs!$B$40),999,(ABS((K106-Inputs!$B$5)*((Inputs!$C$69*SIN((-$B106))-Inputs!$B$69*COS((-$B106)))-Inputs!$B$6)-(L106-Inputs!$B$6)*((Inputs!$C$69*COS((-$B106))+Inputs!$B$69*SIN((-$B106)))-Inputs!$B$5))/M106)-IF(((((Inputs!$C$69*COS((-$B106))+Inputs!$B$69*SIN((-$B106)))-Inputs!$B$5)*(K106-Inputs!$B$5)+((Inputs!$C$69*SIN((-$B106))-Inputs!$B$69*COS((-$B106)))-Inputs!$B$6)*(L106-Inputs!$B$6))/M106)&lt;$B$16,$B$7/2,$B$8/2)-Inputs!$B$39),IF(OR(Inputs!$C$70=0,((((Inputs!$C$70*COS((-$B106))+Inputs!$B$70*SIN((-$B106)))-Inputs!$B$5)*(K106-Inputs!$B$5)+((Inputs!$C$70*SIN((-$B106))-Inputs!$B$70*COS((-$B106)))-Inputs!$B$6)*(L106-Inputs!$B$6))/M106)&lt;0,((((Inputs!$C$70*COS((-$B106))+Inputs!$B$70*SIN((-$B106)))-Inputs!$B$5)*(K106-Inputs!$B$5)+((Inputs!$C$70*SIN((-$B106))-Inputs!$B$70*COS((-$B106)))-Inputs!$B$6)*(L106-Inputs!$B$6))/M106)&gt;M106-Inputs!$B$40),999,(ABS((K106-Inputs!$B$5)*((Inputs!$C$70*SIN((-$B106))-Inputs!$B$70*COS((-$B106)))-Inputs!$B$6)-(L106-Inputs!$B$6)*((Inputs!$C$70*COS((-$B106))+Inputs!$B$70*SIN((-$B106)))-Inputs!$B$5))/M106)-IF(((((Inputs!$C$70*COS((-$B106))+Inputs!$B$70*SIN((-$B106)))-Inputs!$B$5)*(K106-Inputs!$B$5)+((Inputs!$C$70*SIN((-$B106))-Inputs!$B$70*COS((-$B106)))-Inputs!$B$6)*(L106-Inputs!$B$6))/M106)&lt;$B$16,$B$7/2,$B$8/2)-Inputs!$B$39),IF(OR(Inputs!$C$71=0,((((Inputs!$C$71*COS((-$B106))+Inputs!$B$71*SIN((-$B106)))-Inputs!$B$5)*(K106-Inputs!$B$5)+((Inputs!$C$71*SIN((-$B106))-Inputs!$B$71*COS((-$B106)))-Inputs!$B$6)*(L106-Inputs!$B$6))/M106)&lt;0,((((Inputs!$C$71*COS((-$B106))+Inputs!$B$71*SIN((-$B106)))-Inputs!$B$5)*(K106-Inputs!$B$5)+((Inputs!$C$71*SIN((-$B106))-Inputs!$B$71*COS((-$B106)))-Inputs!$B$6)*(L106-Inputs!$B$6))/M106)&gt;M106-Inputs!$B$40),999,(ABS((K106-Inputs!$B$5)*((Inputs!$C$71*SIN((-$B106))-Inputs!$B$71*COS((-$B106)))-Inputs!$B$6)-(L106-Inputs!$B$6)*((Inputs!$C$71*COS((-$B106))+Inputs!$B$71*SIN((-$B106)))-Inputs!$B$5))/M106)-IF(((((Inputs!$C$71*COS((-$B106))+Inputs!$B$71*SIN((-$B106)))-Inputs!$B$5)*(K106-Inputs!$B$5)+((Inputs!$C$71*SIN((-$B106))-Inputs!$B$71*COS((-$B106)))-Inputs!$B$6)*(L106-Inputs!$B$6))/M106)&lt;$B$16,$B$7/2,$B$8/2)-Inputs!$B$39),IF(OR(Inputs!$C$72=0,((((Inputs!$C$72*COS((-$B106))+Inputs!$B$72*SIN((-$B106)))-Inputs!$B$5)*(K106-Inputs!$B$5)+((Inputs!$C$72*SIN((-$B106))-Inputs!$B$72*COS((-$B106)))-Inputs!$B$6)*(L106-Inputs!$B$6))/M106)&lt;0,((((Inputs!$C$72*COS((-$B106))+Inputs!$B$72*SIN((-$B106)))-Inputs!$B$5)*(K106-Inputs!$B$5)+((Inputs!$C$72*SIN((-$B106))-Inputs!$B$72*COS((-$B106)))-Inputs!$B$6)*(L106-Inputs!$B$6))/M106)&gt;M106-Inputs!$B$40),999,(ABS((K106-Inputs!$B$5)*((Inputs!$C$72*SIN((-$B106))-Inputs!$B$72*COS((-$B106)))-Inputs!$B$6)-(L106-Inputs!$B$6)*((Inputs!$C$72*COS((-$B106))+Inputs!$B$72*SIN((-$B106)))-Inputs!$B$5))/M106)-IF(((((Inputs!$C$72*COS((-$B106))+Inputs!$B$72*SIN((-$B106)))-Inputs!$B$5)*(K106-Inputs!$B$5)+((Inputs!$C$72*SIN((-$B106))-Inputs!$B$72*COS((-$B106)))-Inputs!$B$6)*(L106-Inputs!$B$6))/M106)&lt;$B$16,$B$7/2,$B$8/2)-Inputs!$B$39))</f>
        <v>4.852128091</v>
      </c>
      <c r="P106" s="76">
        <f>IF(AND(M106&gt;=$B$14,M106&lt;=$B$15,N106&lt;=Inputs!$B$38,O106&gt;=0,$D106=1),1,0)</f>
        <v>0</v>
      </c>
    </row>
    <row r="107" ht="15.75" customHeight="1">
      <c r="A107" s="23">
        <v>16.0</v>
      </c>
      <c r="B107" s="40">
        <f t="shared" si="4"/>
        <v>0.2792526803</v>
      </c>
      <c r="C107" s="29">
        <f>MAX(Inputs!$C$68*COS($B107)+Inputs!$B$68*ABS(SIN($B107)),Inputs!$C$69*COS($B107)+Inputs!$B$69*ABS(SIN($B107)),Inputs!$C$70*COS($B107)+Inputs!$B$70*ABS(SIN($B107)),Inputs!$C$71*COS($B107)+Inputs!$B$71*ABS(SIN($B107)),Inputs!$C$72*COS($B107)+Inputs!$B$72*ABS(SIN($B107)))</f>
        <v>185.8302237</v>
      </c>
      <c r="D107" s="108">
        <f>IF(C107&lt;=Inputs!$B$38,1,0)</f>
        <v>1</v>
      </c>
      <c r="E107" s="29">
        <f>Inputs!$B$11*COS(($B107))-Inputs!$B$7*SIN(($B107))</f>
        <v>147.269211</v>
      </c>
      <c r="F107" s="29">
        <f>Inputs!$B$11*SIN(($B107))+Inputs!$B$7*COS(($B107))</f>
        <v>-165.8311204</v>
      </c>
      <c r="G107" s="29">
        <f>SQRT((E107-Inputs!$B$5)^2+(F107-Inputs!$B$6)^2)</f>
        <v>284.9908763</v>
      </c>
      <c r="H107" s="29">
        <f>MAX(MAX(Inputs!$B$5,(Inputs!$B$5+(E107-Inputs!$B$5)*MIN(1,$B$16/G107)))+$B$7/2,MAX((Inputs!$B$5+(E107-Inputs!$B$5)*MIN(1,$B$16/G107)),E107)+Inputs!$B$41)</f>
        <v>291.8</v>
      </c>
      <c r="I107" s="29">
        <f>MIN(IF(OR(Inputs!$C$68=0,((((Inputs!$C$68*COS(($B107))+Inputs!$B$68*SIN(($B107)))-Inputs!$B$5)*(E107-Inputs!$B$5)+((Inputs!$C$68*SIN(($B107))-Inputs!$B$68*COS(($B107)))-Inputs!$B$6)*(F107-Inputs!$B$6))/G107)&lt;0,((((Inputs!$C$68*COS(($B107))+Inputs!$B$68*SIN(($B107)))-Inputs!$B$5)*(E107-Inputs!$B$5)+((Inputs!$C$68*SIN(($B107))-Inputs!$B$68*COS(($B107)))-Inputs!$B$6)*(F107-Inputs!$B$6))/G107)&gt;G107-Inputs!$B$40),999,(ABS((E107-Inputs!$B$5)*((Inputs!$C$68*SIN(($B107))-Inputs!$B$68*COS(($B107)))-Inputs!$B$6)-(F107-Inputs!$B$6)*((Inputs!$C$68*COS(($B107))+Inputs!$B$68*SIN(($B107)))-Inputs!$B$5))/G107)-IF(((((Inputs!$C$68*COS(($B107))+Inputs!$B$68*SIN(($B107)))-Inputs!$B$5)*(E107-Inputs!$B$5)+((Inputs!$C$68*SIN(($B107))-Inputs!$B$68*COS(($B107)))-Inputs!$B$6)*(F107-Inputs!$B$6))/G107)&lt;$B$16,$B$7/2,$B$8/2)-Inputs!$B$39),IF(OR(Inputs!$C$69=0,((((Inputs!$C$69*COS(($B107))+Inputs!$B$69*SIN(($B107)))-Inputs!$B$5)*(E107-Inputs!$B$5)+((Inputs!$C$69*SIN(($B107))-Inputs!$B$69*COS(($B107)))-Inputs!$B$6)*(F107-Inputs!$B$6))/G107)&lt;0,((((Inputs!$C$69*COS(($B107))+Inputs!$B$69*SIN(($B107)))-Inputs!$B$5)*(E107-Inputs!$B$5)+((Inputs!$C$69*SIN(($B107))-Inputs!$B$69*COS(($B107)))-Inputs!$B$6)*(F107-Inputs!$B$6))/G107)&gt;G107-Inputs!$B$40),999,(ABS((E107-Inputs!$B$5)*((Inputs!$C$69*SIN(($B107))-Inputs!$B$69*COS(($B107)))-Inputs!$B$6)-(F107-Inputs!$B$6)*((Inputs!$C$69*COS(($B107))+Inputs!$B$69*SIN(($B107)))-Inputs!$B$5))/G107)-IF(((((Inputs!$C$69*COS(($B107))+Inputs!$B$69*SIN(($B107)))-Inputs!$B$5)*(E107-Inputs!$B$5)+((Inputs!$C$69*SIN(($B107))-Inputs!$B$69*COS(($B107)))-Inputs!$B$6)*(F107-Inputs!$B$6))/G107)&lt;$B$16,$B$7/2,$B$8/2)-Inputs!$B$39),IF(OR(Inputs!$C$70=0,((((Inputs!$C$70*COS(($B107))+Inputs!$B$70*SIN(($B107)))-Inputs!$B$5)*(E107-Inputs!$B$5)+((Inputs!$C$70*SIN(($B107))-Inputs!$B$70*COS(($B107)))-Inputs!$B$6)*(F107-Inputs!$B$6))/G107)&lt;0,((((Inputs!$C$70*COS(($B107))+Inputs!$B$70*SIN(($B107)))-Inputs!$B$5)*(E107-Inputs!$B$5)+((Inputs!$C$70*SIN(($B107))-Inputs!$B$70*COS(($B107)))-Inputs!$B$6)*(F107-Inputs!$B$6))/G107)&gt;G107-Inputs!$B$40),999,(ABS((E107-Inputs!$B$5)*((Inputs!$C$70*SIN(($B107))-Inputs!$B$70*COS(($B107)))-Inputs!$B$6)-(F107-Inputs!$B$6)*((Inputs!$C$70*COS(($B107))+Inputs!$B$70*SIN(($B107)))-Inputs!$B$5))/G107)-IF(((((Inputs!$C$70*COS(($B107))+Inputs!$B$70*SIN(($B107)))-Inputs!$B$5)*(E107-Inputs!$B$5)+((Inputs!$C$70*SIN(($B107))-Inputs!$B$70*COS(($B107)))-Inputs!$B$6)*(F107-Inputs!$B$6))/G107)&lt;$B$16,$B$7/2,$B$8/2)-Inputs!$B$39),IF(OR(Inputs!$C$71=0,((((Inputs!$C$71*COS(($B107))+Inputs!$B$71*SIN(($B107)))-Inputs!$B$5)*(E107-Inputs!$B$5)+((Inputs!$C$71*SIN(($B107))-Inputs!$B$71*COS(($B107)))-Inputs!$B$6)*(F107-Inputs!$B$6))/G107)&lt;0,((((Inputs!$C$71*COS(($B107))+Inputs!$B$71*SIN(($B107)))-Inputs!$B$5)*(E107-Inputs!$B$5)+((Inputs!$C$71*SIN(($B107))-Inputs!$B$71*COS(($B107)))-Inputs!$B$6)*(F107-Inputs!$B$6))/G107)&gt;G107-Inputs!$B$40),999,(ABS((E107-Inputs!$B$5)*((Inputs!$C$71*SIN(($B107))-Inputs!$B$71*COS(($B107)))-Inputs!$B$6)-(F107-Inputs!$B$6)*((Inputs!$C$71*COS(($B107))+Inputs!$B$71*SIN(($B107)))-Inputs!$B$5))/G107)-IF(((((Inputs!$C$71*COS(($B107))+Inputs!$B$71*SIN(($B107)))-Inputs!$B$5)*(E107-Inputs!$B$5)+((Inputs!$C$71*SIN(($B107))-Inputs!$B$71*COS(($B107)))-Inputs!$B$6)*(F107-Inputs!$B$6))/G107)&lt;$B$16,$B$7/2,$B$8/2)-Inputs!$B$39),IF(OR(Inputs!$C$72=0,((((Inputs!$C$72*COS(($B107))+Inputs!$B$72*SIN(($B107)))-Inputs!$B$5)*(E107-Inputs!$B$5)+((Inputs!$C$72*SIN(($B107))-Inputs!$B$72*COS(($B107)))-Inputs!$B$6)*(F107-Inputs!$B$6))/G107)&lt;0,((((Inputs!$C$72*COS(($B107))+Inputs!$B$72*SIN(($B107)))-Inputs!$B$5)*(E107-Inputs!$B$5)+((Inputs!$C$72*SIN(($B107))-Inputs!$B$72*COS(($B107)))-Inputs!$B$6)*(F107-Inputs!$B$6))/G107)&gt;G107-Inputs!$B$40),999,(ABS((E107-Inputs!$B$5)*((Inputs!$C$72*SIN(($B107))-Inputs!$B$72*COS(($B107)))-Inputs!$B$6)-(F107-Inputs!$B$6)*((Inputs!$C$72*COS(($B107))+Inputs!$B$72*SIN(($B107)))-Inputs!$B$5))/G107)-IF(((((Inputs!$C$72*COS(($B107))+Inputs!$B$72*SIN(($B107)))-Inputs!$B$5)*(E107-Inputs!$B$5)+((Inputs!$C$72*SIN(($B107))-Inputs!$B$72*COS(($B107)))-Inputs!$B$6)*(F107-Inputs!$B$6))/G107)&lt;$B$16,$B$7/2,$B$8/2)-Inputs!$B$39))</f>
        <v>43.29495527</v>
      </c>
      <c r="J107" s="76">
        <f>IF(AND(G107&gt;=$B$14,G107&lt;=$B$15,H107&lt;=Inputs!$B$38,I107&gt;=0,$D107=1),1,0)</f>
        <v>0</v>
      </c>
      <c r="K107" s="29">
        <f>Inputs!$B$11*COS((-$B107))-Inputs!$B$7*SIN((-$B107))</f>
        <v>37.0142687</v>
      </c>
      <c r="L107" s="29">
        <f>Inputs!$B$11*SIN((-$B107))+Inputs!$B$7*COS((-$B107))</f>
        <v>-218.6735579</v>
      </c>
      <c r="M107" s="29">
        <f>SQRT((K107-Inputs!$B$5)^2+(L107-Inputs!$B$6)^2)</f>
        <v>383.2959147</v>
      </c>
      <c r="N107" s="29">
        <f>MAX(MAX(Inputs!$B$5,(Inputs!$B$5+(K107-Inputs!$B$5)*MIN(1,$B$16/M107)))+$B$7/2,MAX((Inputs!$B$5+(K107-Inputs!$B$5)*MIN(1,$B$16/M107)),K107)+Inputs!$B$41)</f>
        <v>291.8</v>
      </c>
      <c r="O107" s="29">
        <f>MIN(IF(OR(Inputs!$C$68=0,((((Inputs!$C$68*COS((-$B107))+Inputs!$B$68*SIN((-$B107)))-Inputs!$B$5)*(K107-Inputs!$B$5)+((Inputs!$C$68*SIN((-$B107))-Inputs!$B$68*COS((-$B107)))-Inputs!$B$6)*(L107-Inputs!$B$6))/M107)&lt;0,((((Inputs!$C$68*COS((-$B107))+Inputs!$B$68*SIN((-$B107)))-Inputs!$B$5)*(K107-Inputs!$B$5)+((Inputs!$C$68*SIN((-$B107))-Inputs!$B$68*COS((-$B107)))-Inputs!$B$6)*(L107-Inputs!$B$6))/M107)&gt;M107-Inputs!$B$40),999,(ABS((K107-Inputs!$B$5)*((Inputs!$C$68*SIN((-$B107))-Inputs!$B$68*COS((-$B107)))-Inputs!$B$6)-(L107-Inputs!$B$6)*((Inputs!$C$68*COS((-$B107))+Inputs!$B$68*SIN((-$B107)))-Inputs!$B$5))/M107)-IF(((((Inputs!$C$68*COS((-$B107))+Inputs!$B$68*SIN((-$B107)))-Inputs!$B$5)*(K107-Inputs!$B$5)+((Inputs!$C$68*SIN((-$B107))-Inputs!$B$68*COS((-$B107)))-Inputs!$B$6)*(L107-Inputs!$B$6))/M107)&lt;$B$16,$B$7/2,$B$8/2)-Inputs!$B$39),IF(OR(Inputs!$C$69=0,((((Inputs!$C$69*COS((-$B107))+Inputs!$B$69*SIN((-$B107)))-Inputs!$B$5)*(K107-Inputs!$B$5)+((Inputs!$C$69*SIN((-$B107))-Inputs!$B$69*COS((-$B107)))-Inputs!$B$6)*(L107-Inputs!$B$6))/M107)&lt;0,((((Inputs!$C$69*COS((-$B107))+Inputs!$B$69*SIN((-$B107)))-Inputs!$B$5)*(K107-Inputs!$B$5)+((Inputs!$C$69*SIN((-$B107))-Inputs!$B$69*COS((-$B107)))-Inputs!$B$6)*(L107-Inputs!$B$6))/M107)&gt;M107-Inputs!$B$40),999,(ABS((K107-Inputs!$B$5)*((Inputs!$C$69*SIN((-$B107))-Inputs!$B$69*COS((-$B107)))-Inputs!$B$6)-(L107-Inputs!$B$6)*((Inputs!$C$69*COS((-$B107))+Inputs!$B$69*SIN((-$B107)))-Inputs!$B$5))/M107)-IF(((((Inputs!$C$69*COS((-$B107))+Inputs!$B$69*SIN((-$B107)))-Inputs!$B$5)*(K107-Inputs!$B$5)+((Inputs!$C$69*SIN((-$B107))-Inputs!$B$69*COS((-$B107)))-Inputs!$B$6)*(L107-Inputs!$B$6))/M107)&lt;$B$16,$B$7/2,$B$8/2)-Inputs!$B$39),IF(OR(Inputs!$C$70=0,((((Inputs!$C$70*COS((-$B107))+Inputs!$B$70*SIN((-$B107)))-Inputs!$B$5)*(K107-Inputs!$B$5)+((Inputs!$C$70*SIN((-$B107))-Inputs!$B$70*COS((-$B107)))-Inputs!$B$6)*(L107-Inputs!$B$6))/M107)&lt;0,((((Inputs!$C$70*COS((-$B107))+Inputs!$B$70*SIN((-$B107)))-Inputs!$B$5)*(K107-Inputs!$B$5)+((Inputs!$C$70*SIN((-$B107))-Inputs!$B$70*COS((-$B107)))-Inputs!$B$6)*(L107-Inputs!$B$6))/M107)&gt;M107-Inputs!$B$40),999,(ABS((K107-Inputs!$B$5)*((Inputs!$C$70*SIN((-$B107))-Inputs!$B$70*COS((-$B107)))-Inputs!$B$6)-(L107-Inputs!$B$6)*((Inputs!$C$70*COS((-$B107))+Inputs!$B$70*SIN((-$B107)))-Inputs!$B$5))/M107)-IF(((((Inputs!$C$70*COS((-$B107))+Inputs!$B$70*SIN((-$B107)))-Inputs!$B$5)*(K107-Inputs!$B$5)+((Inputs!$C$70*SIN((-$B107))-Inputs!$B$70*COS((-$B107)))-Inputs!$B$6)*(L107-Inputs!$B$6))/M107)&lt;$B$16,$B$7/2,$B$8/2)-Inputs!$B$39),IF(OR(Inputs!$C$71=0,((((Inputs!$C$71*COS((-$B107))+Inputs!$B$71*SIN((-$B107)))-Inputs!$B$5)*(K107-Inputs!$B$5)+((Inputs!$C$71*SIN((-$B107))-Inputs!$B$71*COS((-$B107)))-Inputs!$B$6)*(L107-Inputs!$B$6))/M107)&lt;0,((((Inputs!$C$71*COS((-$B107))+Inputs!$B$71*SIN((-$B107)))-Inputs!$B$5)*(K107-Inputs!$B$5)+((Inputs!$C$71*SIN((-$B107))-Inputs!$B$71*COS((-$B107)))-Inputs!$B$6)*(L107-Inputs!$B$6))/M107)&gt;M107-Inputs!$B$40),999,(ABS((K107-Inputs!$B$5)*((Inputs!$C$71*SIN((-$B107))-Inputs!$B$71*COS((-$B107)))-Inputs!$B$6)-(L107-Inputs!$B$6)*((Inputs!$C$71*COS((-$B107))+Inputs!$B$71*SIN((-$B107)))-Inputs!$B$5))/M107)-IF(((((Inputs!$C$71*COS((-$B107))+Inputs!$B$71*SIN((-$B107)))-Inputs!$B$5)*(K107-Inputs!$B$5)+((Inputs!$C$71*SIN((-$B107))-Inputs!$B$71*COS((-$B107)))-Inputs!$B$6)*(L107-Inputs!$B$6))/M107)&lt;$B$16,$B$7/2,$B$8/2)-Inputs!$B$39),IF(OR(Inputs!$C$72=0,((((Inputs!$C$72*COS((-$B107))+Inputs!$B$72*SIN((-$B107)))-Inputs!$B$5)*(K107-Inputs!$B$5)+((Inputs!$C$72*SIN((-$B107))-Inputs!$B$72*COS((-$B107)))-Inputs!$B$6)*(L107-Inputs!$B$6))/M107)&lt;0,((((Inputs!$C$72*COS((-$B107))+Inputs!$B$72*SIN((-$B107)))-Inputs!$B$5)*(K107-Inputs!$B$5)+((Inputs!$C$72*SIN((-$B107))-Inputs!$B$72*COS((-$B107)))-Inputs!$B$6)*(L107-Inputs!$B$6))/M107)&gt;M107-Inputs!$B$40),999,(ABS((K107-Inputs!$B$5)*((Inputs!$C$72*SIN((-$B107))-Inputs!$B$72*COS((-$B107)))-Inputs!$B$6)-(L107-Inputs!$B$6)*((Inputs!$C$72*COS((-$B107))+Inputs!$B$72*SIN((-$B107)))-Inputs!$B$5))/M107)-IF(((((Inputs!$C$72*COS((-$B107))+Inputs!$B$72*SIN((-$B107)))-Inputs!$B$5)*(K107-Inputs!$B$5)+((Inputs!$C$72*SIN((-$B107))-Inputs!$B$72*COS((-$B107)))-Inputs!$B$6)*(L107-Inputs!$B$6))/M107)&lt;$B$16,$B$7/2,$B$8/2)-Inputs!$B$39))</f>
        <v>4.520531764</v>
      </c>
      <c r="P107" s="76">
        <f>IF(AND(M107&gt;=$B$14,M107&lt;=$B$15,N107&lt;=Inputs!$B$38,O107&gt;=0,$D107=1),1,0)</f>
        <v>0</v>
      </c>
    </row>
    <row r="108" ht="15.75" customHeight="1">
      <c r="A108" s="23">
        <v>16.25</v>
      </c>
      <c r="B108" s="40">
        <f t="shared" si="4"/>
        <v>0.2836160034</v>
      </c>
      <c r="C108" s="29">
        <f>MAX(Inputs!$C$68*COS($B108)+Inputs!$B$68*ABS(SIN($B108)),Inputs!$C$69*COS($B108)+Inputs!$B$69*ABS(SIN($B108)),Inputs!$C$70*COS($B108)+Inputs!$B$70*ABS(SIN($B108)),Inputs!$C$71*COS($B108)+Inputs!$B$71*ABS(SIN($B108)),Inputs!$C$72*COS($B108)+Inputs!$B$72*ABS(SIN($B108)))</f>
        <v>187.4056102</v>
      </c>
      <c r="D108" s="108">
        <f>IF(C108&lt;=Inputs!$B$38,1,0)</f>
        <v>1</v>
      </c>
      <c r="E108" s="29">
        <f>Inputs!$B$11*COS(($B108))-Inputs!$B$7*SIN(($B108))</f>
        <v>147.9913816</v>
      </c>
      <c r="F108" s="29">
        <f>Inputs!$B$11*SIN(($B108))+Inputs!$B$7*COS(($B108))</f>
        <v>-165.1869607</v>
      </c>
      <c r="G108" s="29">
        <f>SQRT((E108-Inputs!$B$5)^2+(F108-Inputs!$B$6)^2)</f>
        <v>284.1300448</v>
      </c>
      <c r="H108" s="29">
        <f>MAX(MAX(Inputs!$B$5,(Inputs!$B$5+(E108-Inputs!$B$5)*MIN(1,$B$16/G108)))+$B$7/2,MAX((Inputs!$B$5+(E108-Inputs!$B$5)*MIN(1,$B$16/G108)),E108)+Inputs!$B$41)</f>
        <v>291.8</v>
      </c>
      <c r="I108" s="29">
        <f>MIN(IF(OR(Inputs!$C$68=0,((((Inputs!$C$68*COS(($B108))+Inputs!$B$68*SIN(($B108)))-Inputs!$B$5)*(E108-Inputs!$B$5)+((Inputs!$C$68*SIN(($B108))-Inputs!$B$68*COS(($B108)))-Inputs!$B$6)*(F108-Inputs!$B$6))/G108)&lt;0,((((Inputs!$C$68*COS(($B108))+Inputs!$B$68*SIN(($B108)))-Inputs!$B$5)*(E108-Inputs!$B$5)+((Inputs!$C$68*SIN(($B108))-Inputs!$B$68*COS(($B108)))-Inputs!$B$6)*(F108-Inputs!$B$6))/G108)&gt;G108-Inputs!$B$40),999,(ABS((E108-Inputs!$B$5)*((Inputs!$C$68*SIN(($B108))-Inputs!$B$68*COS(($B108)))-Inputs!$B$6)-(F108-Inputs!$B$6)*((Inputs!$C$68*COS(($B108))+Inputs!$B$68*SIN(($B108)))-Inputs!$B$5))/G108)-IF(((((Inputs!$C$68*COS(($B108))+Inputs!$B$68*SIN(($B108)))-Inputs!$B$5)*(E108-Inputs!$B$5)+((Inputs!$C$68*SIN(($B108))-Inputs!$B$68*COS(($B108)))-Inputs!$B$6)*(F108-Inputs!$B$6))/G108)&lt;$B$16,$B$7/2,$B$8/2)-Inputs!$B$39),IF(OR(Inputs!$C$69=0,((((Inputs!$C$69*COS(($B108))+Inputs!$B$69*SIN(($B108)))-Inputs!$B$5)*(E108-Inputs!$B$5)+((Inputs!$C$69*SIN(($B108))-Inputs!$B$69*COS(($B108)))-Inputs!$B$6)*(F108-Inputs!$B$6))/G108)&lt;0,((((Inputs!$C$69*COS(($B108))+Inputs!$B$69*SIN(($B108)))-Inputs!$B$5)*(E108-Inputs!$B$5)+((Inputs!$C$69*SIN(($B108))-Inputs!$B$69*COS(($B108)))-Inputs!$B$6)*(F108-Inputs!$B$6))/G108)&gt;G108-Inputs!$B$40),999,(ABS((E108-Inputs!$B$5)*((Inputs!$C$69*SIN(($B108))-Inputs!$B$69*COS(($B108)))-Inputs!$B$6)-(F108-Inputs!$B$6)*((Inputs!$C$69*COS(($B108))+Inputs!$B$69*SIN(($B108)))-Inputs!$B$5))/G108)-IF(((((Inputs!$C$69*COS(($B108))+Inputs!$B$69*SIN(($B108)))-Inputs!$B$5)*(E108-Inputs!$B$5)+((Inputs!$C$69*SIN(($B108))-Inputs!$B$69*COS(($B108)))-Inputs!$B$6)*(F108-Inputs!$B$6))/G108)&lt;$B$16,$B$7/2,$B$8/2)-Inputs!$B$39),IF(OR(Inputs!$C$70=0,((((Inputs!$C$70*COS(($B108))+Inputs!$B$70*SIN(($B108)))-Inputs!$B$5)*(E108-Inputs!$B$5)+((Inputs!$C$70*SIN(($B108))-Inputs!$B$70*COS(($B108)))-Inputs!$B$6)*(F108-Inputs!$B$6))/G108)&lt;0,((((Inputs!$C$70*COS(($B108))+Inputs!$B$70*SIN(($B108)))-Inputs!$B$5)*(E108-Inputs!$B$5)+((Inputs!$C$70*SIN(($B108))-Inputs!$B$70*COS(($B108)))-Inputs!$B$6)*(F108-Inputs!$B$6))/G108)&gt;G108-Inputs!$B$40),999,(ABS((E108-Inputs!$B$5)*((Inputs!$C$70*SIN(($B108))-Inputs!$B$70*COS(($B108)))-Inputs!$B$6)-(F108-Inputs!$B$6)*((Inputs!$C$70*COS(($B108))+Inputs!$B$70*SIN(($B108)))-Inputs!$B$5))/G108)-IF(((((Inputs!$C$70*COS(($B108))+Inputs!$B$70*SIN(($B108)))-Inputs!$B$5)*(E108-Inputs!$B$5)+((Inputs!$C$70*SIN(($B108))-Inputs!$B$70*COS(($B108)))-Inputs!$B$6)*(F108-Inputs!$B$6))/G108)&lt;$B$16,$B$7/2,$B$8/2)-Inputs!$B$39),IF(OR(Inputs!$C$71=0,((((Inputs!$C$71*COS(($B108))+Inputs!$B$71*SIN(($B108)))-Inputs!$B$5)*(E108-Inputs!$B$5)+((Inputs!$C$71*SIN(($B108))-Inputs!$B$71*COS(($B108)))-Inputs!$B$6)*(F108-Inputs!$B$6))/G108)&lt;0,((((Inputs!$C$71*COS(($B108))+Inputs!$B$71*SIN(($B108)))-Inputs!$B$5)*(E108-Inputs!$B$5)+((Inputs!$C$71*SIN(($B108))-Inputs!$B$71*COS(($B108)))-Inputs!$B$6)*(F108-Inputs!$B$6))/G108)&gt;G108-Inputs!$B$40),999,(ABS((E108-Inputs!$B$5)*((Inputs!$C$71*SIN(($B108))-Inputs!$B$71*COS(($B108)))-Inputs!$B$6)-(F108-Inputs!$B$6)*((Inputs!$C$71*COS(($B108))+Inputs!$B$71*SIN(($B108)))-Inputs!$B$5))/G108)-IF(((((Inputs!$C$71*COS(($B108))+Inputs!$B$71*SIN(($B108)))-Inputs!$B$5)*(E108-Inputs!$B$5)+((Inputs!$C$71*SIN(($B108))-Inputs!$B$71*COS(($B108)))-Inputs!$B$6)*(F108-Inputs!$B$6))/G108)&lt;$B$16,$B$7/2,$B$8/2)-Inputs!$B$39),IF(OR(Inputs!$C$72=0,((((Inputs!$C$72*COS(($B108))+Inputs!$B$72*SIN(($B108)))-Inputs!$B$5)*(E108-Inputs!$B$5)+((Inputs!$C$72*SIN(($B108))-Inputs!$B$72*COS(($B108)))-Inputs!$B$6)*(F108-Inputs!$B$6))/G108)&lt;0,((((Inputs!$C$72*COS(($B108))+Inputs!$B$72*SIN(($B108)))-Inputs!$B$5)*(E108-Inputs!$B$5)+((Inputs!$C$72*SIN(($B108))-Inputs!$B$72*COS(($B108)))-Inputs!$B$6)*(F108-Inputs!$B$6))/G108)&gt;G108-Inputs!$B$40),999,(ABS((E108-Inputs!$B$5)*((Inputs!$C$72*SIN(($B108))-Inputs!$B$72*COS(($B108)))-Inputs!$B$6)-(F108-Inputs!$B$6)*((Inputs!$C$72*COS(($B108))+Inputs!$B$72*SIN(($B108)))-Inputs!$B$5))/G108)-IF(((((Inputs!$C$72*COS(($B108))+Inputs!$B$72*SIN(($B108)))-Inputs!$B$5)*(E108-Inputs!$B$5)+((Inputs!$C$72*SIN(($B108))-Inputs!$B$72*COS(($B108)))-Inputs!$B$6)*(F108-Inputs!$B$6))/G108)&lt;$B$16,$B$7/2,$B$8/2)-Inputs!$B$39))</f>
        <v>43.47724653</v>
      </c>
      <c r="J108" s="76">
        <f>IF(AND(G108&gt;=$B$14,G108&lt;=$B$15,H108&lt;=Inputs!$B$38,I108&gt;=0,$D108=1),1,0)</f>
        <v>0</v>
      </c>
      <c r="K108" s="29">
        <f>Inputs!$B$11*COS((-$B108))-Inputs!$B$7*SIN((-$B108))</f>
        <v>36.05977599</v>
      </c>
      <c r="L108" s="29">
        <f>Inputs!$B$11*SIN((-$B108))+Inputs!$B$7*COS((-$B108))</f>
        <v>-218.832981</v>
      </c>
      <c r="M108" s="29">
        <f>SQRT((K108-Inputs!$B$5)^2+(L108-Inputs!$B$6)^2)</f>
        <v>383.9594891</v>
      </c>
      <c r="N108" s="29">
        <f>MAX(MAX(Inputs!$B$5,(Inputs!$B$5+(K108-Inputs!$B$5)*MIN(1,$B$16/M108)))+$B$7/2,MAX((Inputs!$B$5+(K108-Inputs!$B$5)*MIN(1,$B$16/M108)),K108)+Inputs!$B$41)</f>
        <v>291.8</v>
      </c>
      <c r="O108" s="29">
        <f>MIN(IF(OR(Inputs!$C$68=0,((((Inputs!$C$68*COS((-$B108))+Inputs!$B$68*SIN((-$B108)))-Inputs!$B$5)*(K108-Inputs!$B$5)+((Inputs!$C$68*SIN((-$B108))-Inputs!$B$68*COS((-$B108)))-Inputs!$B$6)*(L108-Inputs!$B$6))/M108)&lt;0,((((Inputs!$C$68*COS((-$B108))+Inputs!$B$68*SIN((-$B108)))-Inputs!$B$5)*(K108-Inputs!$B$5)+((Inputs!$C$68*SIN((-$B108))-Inputs!$B$68*COS((-$B108)))-Inputs!$B$6)*(L108-Inputs!$B$6))/M108)&gt;M108-Inputs!$B$40),999,(ABS((K108-Inputs!$B$5)*((Inputs!$C$68*SIN((-$B108))-Inputs!$B$68*COS((-$B108)))-Inputs!$B$6)-(L108-Inputs!$B$6)*((Inputs!$C$68*COS((-$B108))+Inputs!$B$68*SIN((-$B108)))-Inputs!$B$5))/M108)-IF(((((Inputs!$C$68*COS((-$B108))+Inputs!$B$68*SIN((-$B108)))-Inputs!$B$5)*(K108-Inputs!$B$5)+((Inputs!$C$68*SIN((-$B108))-Inputs!$B$68*COS((-$B108)))-Inputs!$B$6)*(L108-Inputs!$B$6))/M108)&lt;$B$16,$B$7/2,$B$8/2)-Inputs!$B$39),IF(OR(Inputs!$C$69=0,((((Inputs!$C$69*COS((-$B108))+Inputs!$B$69*SIN((-$B108)))-Inputs!$B$5)*(K108-Inputs!$B$5)+((Inputs!$C$69*SIN((-$B108))-Inputs!$B$69*COS((-$B108)))-Inputs!$B$6)*(L108-Inputs!$B$6))/M108)&lt;0,((((Inputs!$C$69*COS((-$B108))+Inputs!$B$69*SIN((-$B108)))-Inputs!$B$5)*(K108-Inputs!$B$5)+((Inputs!$C$69*SIN((-$B108))-Inputs!$B$69*COS((-$B108)))-Inputs!$B$6)*(L108-Inputs!$B$6))/M108)&gt;M108-Inputs!$B$40),999,(ABS((K108-Inputs!$B$5)*((Inputs!$C$69*SIN((-$B108))-Inputs!$B$69*COS((-$B108)))-Inputs!$B$6)-(L108-Inputs!$B$6)*((Inputs!$C$69*COS((-$B108))+Inputs!$B$69*SIN((-$B108)))-Inputs!$B$5))/M108)-IF(((((Inputs!$C$69*COS((-$B108))+Inputs!$B$69*SIN((-$B108)))-Inputs!$B$5)*(K108-Inputs!$B$5)+((Inputs!$C$69*SIN((-$B108))-Inputs!$B$69*COS((-$B108)))-Inputs!$B$6)*(L108-Inputs!$B$6))/M108)&lt;$B$16,$B$7/2,$B$8/2)-Inputs!$B$39),IF(OR(Inputs!$C$70=0,((((Inputs!$C$70*COS((-$B108))+Inputs!$B$70*SIN((-$B108)))-Inputs!$B$5)*(K108-Inputs!$B$5)+((Inputs!$C$70*SIN((-$B108))-Inputs!$B$70*COS((-$B108)))-Inputs!$B$6)*(L108-Inputs!$B$6))/M108)&lt;0,((((Inputs!$C$70*COS((-$B108))+Inputs!$B$70*SIN((-$B108)))-Inputs!$B$5)*(K108-Inputs!$B$5)+((Inputs!$C$70*SIN((-$B108))-Inputs!$B$70*COS((-$B108)))-Inputs!$B$6)*(L108-Inputs!$B$6))/M108)&gt;M108-Inputs!$B$40),999,(ABS((K108-Inputs!$B$5)*((Inputs!$C$70*SIN((-$B108))-Inputs!$B$70*COS((-$B108)))-Inputs!$B$6)-(L108-Inputs!$B$6)*((Inputs!$C$70*COS((-$B108))+Inputs!$B$70*SIN((-$B108)))-Inputs!$B$5))/M108)-IF(((((Inputs!$C$70*COS((-$B108))+Inputs!$B$70*SIN((-$B108)))-Inputs!$B$5)*(K108-Inputs!$B$5)+((Inputs!$C$70*SIN((-$B108))-Inputs!$B$70*COS((-$B108)))-Inputs!$B$6)*(L108-Inputs!$B$6))/M108)&lt;$B$16,$B$7/2,$B$8/2)-Inputs!$B$39),IF(OR(Inputs!$C$71=0,((((Inputs!$C$71*COS((-$B108))+Inputs!$B$71*SIN((-$B108)))-Inputs!$B$5)*(K108-Inputs!$B$5)+((Inputs!$C$71*SIN((-$B108))-Inputs!$B$71*COS((-$B108)))-Inputs!$B$6)*(L108-Inputs!$B$6))/M108)&lt;0,((((Inputs!$C$71*COS((-$B108))+Inputs!$B$71*SIN((-$B108)))-Inputs!$B$5)*(K108-Inputs!$B$5)+((Inputs!$C$71*SIN((-$B108))-Inputs!$B$71*COS((-$B108)))-Inputs!$B$6)*(L108-Inputs!$B$6))/M108)&gt;M108-Inputs!$B$40),999,(ABS((K108-Inputs!$B$5)*((Inputs!$C$71*SIN((-$B108))-Inputs!$B$71*COS((-$B108)))-Inputs!$B$6)-(L108-Inputs!$B$6)*((Inputs!$C$71*COS((-$B108))+Inputs!$B$71*SIN((-$B108)))-Inputs!$B$5))/M108)-IF(((((Inputs!$C$71*COS((-$B108))+Inputs!$B$71*SIN((-$B108)))-Inputs!$B$5)*(K108-Inputs!$B$5)+((Inputs!$C$71*SIN((-$B108))-Inputs!$B$71*COS((-$B108)))-Inputs!$B$6)*(L108-Inputs!$B$6))/M108)&lt;$B$16,$B$7/2,$B$8/2)-Inputs!$B$39),IF(OR(Inputs!$C$72=0,((((Inputs!$C$72*COS((-$B108))+Inputs!$B$72*SIN((-$B108)))-Inputs!$B$5)*(K108-Inputs!$B$5)+((Inputs!$C$72*SIN((-$B108))-Inputs!$B$72*COS((-$B108)))-Inputs!$B$6)*(L108-Inputs!$B$6))/M108)&lt;0,((((Inputs!$C$72*COS((-$B108))+Inputs!$B$72*SIN((-$B108)))-Inputs!$B$5)*(K108-Inputs!$B$5)+((Inputs!$C$72*SIN((-$B108))-Inputs!$B$72*COS((-$B108)))-Inputs!$B$6)*(L108-Inputs!$B$6))/M108)&gt;M108-Inputs!$B$40),999,(ABS((K108-Inputs!$B$5)*((Inputs!$C$72*SIN((-$B108))-Inputs!$B$72*COS((-$B108)))-Inputs!$B$6)-(L108-Inputs!$B$6)*((Inputs!$C$72*COS((-$B108))+Inputs!$B$72*SIN((-$B108)))-Inputs!$B$5))/M108)-IF(((((Inputs!$C$72*COS((-$B108))+Inputs!$B$72*SIN((-$B108)))-Inputs!$B$5)*(K108-Inputs!$B$5)+((Inputs!$C$72*SIN((-$B108))-Inputs!$B$72*COS((-$B108)))-Inputs!$B$6)*(L108-Inputs!$B$6))/M108)&lt;$B$16,$B$7/2,$B$8/2)-Inputs!$B$39))</f>
        <v>4.188777762</v>
      </c>
      <c r="P108" s="76">
        <f>IF(AND(M108&gt;=$B$14,M108&lt;=$B$15,N108&lt;=Inputs!$B$38,O108&gt;=0,$D108=1),1,0)</f>
        <v>0</v>
      </c>
    </row>
    <row r="109" ht="15.75" customHeight="1">
      <c r="A109" s="23">
        <v>16.5</v>
      </c>
      <c r="B109" s="40">
        <f t="shared" si="4"/>
        <v>0.2879793266</v>
      </c>
      <c r="C109" s="29">
        <f>MAX(Inputs!$C$68*COS($B109)+Inputs!$B$68*ABS(SIN($B109)),Inputs!$C$69*COS($B109)+Inputs!$B$69*ABS(SIN($B109)),Inputs!$C$70*COS($B109)+Inputs!$B$70*ABS(SIN($B109)),Inputs!$C$71*COS($B109)+Inputs!$B$71*ABS(SIN($B109)),Inputs!$C$72*COS($B109)+Inputs!$B$72*ABS(SIN($B109)))</f>
        <v>188.9774287</v>
      </c>
      <c r="D109" s="108">
        <f>IF(C109&lt;=Inputs!$B$38,1,0)</f>
        <v>1</v>
      </c>
      <c r="E109" s="29">
        <f>Inputs!$B$11*COS(($B109))-Inputs!$B$7*SIN(($B109))</f>
        <v>148.7107346</v>
      </c>
      <c r="F109" s="29">
        <f>Inputs!$B$11*SIN(($B109))+Inputs!$B$7*COS(($B109))</f>
        <v>-164.5396561</v>
      </c>
      <c r="G109" s="29">
        <f>SQRT((E109-Inputs!$B$5)^2+(F109-Inputs!$B$6)^2)</f>
        <v>283.2679737</v>
      </c>
      <c r="H109" s="29">
        <f>MAX(MAX(Inputs!$B$5,(Inputs!$B$5+(E109-Inputs!$B$5)*MIN(1,$B$16/G109)))+$B$7/2,MAX((Inputs!$B$5+(E109-Inputs!$B$5)*MIN(1,$B$16/G109)),E109)+Inputs!$B$41)</f>
        <v>291.8</v>
      </c>
      <c r="I109" s="29">
        <f>MIN(IF(OR(Inputs!$C$68=0,((((Inputs!$C$68*COS(($B109))+Inputs!$B$68*SIN(($B109)))-Inputs!$B$5)*(E109-Inputs!$B$5)+((Inputs!$C$68*SIN(($B109))-Inputs!$B$68*COS(($B109)))-Inputs!$B$6)*(F109-Inputs!$B$6))/G109)&lt;0,((((Inputs!$C$68*COS(($B109))+Inputs!$B$68*SIN(($B109)))-Inputs!$B$5)*(E109-Inputs!$B$5)+((Inputs!$C$68*SIN(($B109))-Inputs!$B$68*COS(($B109)))-Inputs!$B$6)*(F109-Inputs!$B$6))/G109)&gt;G109-Inputs!$B$40),999,(ABS((E109-Inputs!$B$5)*((Inputs!$C$68*SIN(($B109))-Inputs!$B$68*COS(($B109)))-Inputs!$B$6)-(F109-Inputs!$B$6)*((Inputs!$C$68*COS(($B109))+Inputs!$B$68*SIN(($B109)))-Inputs!$B$5))/G109)-IF(((((Inputs!$C$68*COS(($B109))+Inputs!$B$68*SIN(($B109)))-Inputs!$B$5)*(E109-Inputs!$B$5)+((Inputs!$C$68*SIN(($B109))-Inputs!$B$68*COS(($B109)))-Inputs!$B$6)*(F109-Inputs!$B$6))/G109)&lt;$B$16,$B$7/2,$B$8/2)-Inputs!$B$39),IF(OR(Inputs!$C$69=0,((((Inputs!$C$69*COS(($B109))+Inputs!$B$69*SIN(($B109)))-Inputs!$B$5)*(E109-Inputs!$B$5)+((Inputs!$C$69*SIN(($B109))-Inputs!$B$69*COS(($B109)))-Inputs!$B$6)*(F109-Inputs!$B$6))/G109)&lt;0,((((Inputs!$C$69*COS(($B109))+Inputs!$B$69*SIN(($B109)))-Inputs!$B$5)*(E109-Inputs!$B$5)+((Inputs!$C$69*SIN(($B109))-Inputs!$B$69*COS(($B109)))-Inputs!$B$6)*(F109-Inputs!$B$6))/G109)&gt;G109-Inputs!$B$40),999,(ABS((E109-Inputs!$B$5)*((Inputs!$C$69*SIN(($B109))-Inputs!$B$69*COS(($B109)))-Inputs!$B$6)-(F109-Inputs!$B$6)*((Inputs!$C$69*COS(($B109))+Inputs!$B$69*SIN(($B109)))-Inputs!$B$5))/G109)-IF(((((Inputs!$C$69*COS(($B109))+Inputs!$B$69*SIN(($B109)))-Inputs!$B$5)*(E109-Inputs!$B$5)+((Inputs!$C$69*SIN(($B109))-Inputs!$B$69*COS(($B109)))-Inputs!$B$6)*(F109-Inputs!$B$6))/G109)&lt;$B$16,$B$7/2,$B$8/2)-Inputs!$B$39),IF(OR(Inputs!$C$70=0,((((Inputs!$C$70*COS(($B109))+Inputs!$B$70*SIN(($B109)))-Inputs!$B$5)*(E109-Inputs!$B$5)+((Inputs!$C$70*SIN(($B109))-Inputs!$B$70*COS(($B109)))-Inputs!$B$6)*(F109-Inputs!$B$6))/G109)&lt;0,((((Inputs!$C$70*COS(($B109))+Inputs!$B$70*SIN(($B109)))-Inputs!$B$5)*(E109-Inputs!$B$5)+((Inputs!$C$70*SIN(($B109))-Inputs!$B$70*COS(($B109)))-Inputs!$B$6)*(F109-Inputs!$B$6))/G109)&gt;G109-Inputs!$B$40),999,(ABS((E109-Inputs!$B$5)*((Inputs!$C$70*SIN(($B109))-Inputs!$B$70*COS(($B109)))-Inputs!$B$6)-(F109-Inputs!$B$6)*((Inputs!$C$70*COS(($B109))+Inputs!$B$70*SIN(($B109)))-Inputs!$B$5))/G109)-IF(((((Inputs!$C$70*COS(($B109))+Inputs!$B$70*SIN(($B109)))-Inputs!$B$5)*(E109-Inputs!$B$5)+((Inputs!$C$70*SIN(($B109))-Inputs!$B$70*COS(($B109)))-Inputs!$B$6)*(F109-Inputs!$B$6))/G109)&lt;$B$16,$B$7/2,$B$8/2)-Inputs!$B$39),IF(OR(Inputs!$C$71=0,((((Inputs!$C$71*COS(($B109))+Inputs!$B$71*SIN(($B109)))-Inputs!$B$5)*(E109-Inputs!$B$5)+((Inputs!$C$71*SIN(($B109))-Inputs!$B$71*COS(($B109)))-Inputs!$B$6)*(F109-Inputs!$B$6))/G109)&lt;0,((((Inputs!$C$71*COS(($B109))+Inputs!$B$71*SIN(($B109)))-Inputs!$B$5)*(E109-Inputs!$B$5)+((Inputs!$C$71*SIN(($B109))-Inputs!$B$71*COS(($B109)))-Inputs!$B$6)*(F109-Inputs!$B$6))/G109)&gt;G109-Inputs!$B$40),999,(ABS((E109-Inputs!$B$5)*((Inputs!$C$71*SIN(($B109))-Inputs!$B$71*COS(($B109)))-Inputs!$B$6)-(F109-Inputs!$B$6)*((Inputs!$C$71*COS(($B109))+Inputs!$B$71*SIN(($B109)))-Inputs!$B$5))/G109)-IF(((((Inputs!$C$71*COS(($B109))+Inputs!$B$71*SIN(($B109)))-Inputs!$B$5)*(E109-Inputs!$B$5)+((Inputs!$C$71*SIN(($B109))-Inputs!$B$71*COS(($B109)))-Inputs!$B$6)*(F109-Inputs!$B$6))/G109)&lt;$B$16,$B$7/2,$B$8/2)-Inputs!$B$39),IF(OR(Inputs!$C$72=0,((((Inputs!$C$72*COS(($B109))+Inputs!$B$72*SIN(($B109)))-Inputs!$B$5)*(E109-Inputs!$B$5)+((Inputs!$C$72*SIN(($B109))-Inputs!$B$72*COS(($B109)))-Inputs!$B$6)*(F109-Inputs!$B$6))/G109)&lt;0,((((Inputs!$C$72*COS(($B109))+Inputs!$B$72*SIN(($B109)))-Inputs!$B$5)*(E109-Inputs!$B$5)+((Inputs!$C$72*SIN(($B109))-Inputs!$B$72*COS(($B109)))-Inputs!$B$6)*(F109-Inputs!$B$6))/G109)&gt;G109-Inputs!$B$40),999,(ABS((E109-Inputs!$B$5)*((Inputs!$C$72*SIN(($B109))-Inputs!$B$72*COS(($B109)))-Inputs!$B$6)-(F109-Inputs!$B$6)*((Inputs!$C$72*COS(($B109))+Inputs!$B$72*SIN(($B109)))-Inputs!$B$5))/G109)-IF(((((Inputs!$C$72*COS(($B109))+Inputs!$B$72*SIN(($B109)))-Inputs!$B$5)*(E109-Inputs!$B$5)+((Inputs!$C$72*SIN(($B109))-Inputs!$B$72*COS(($B109)))-Inputs!$B$6)*(F109-Inputs!$B$6))/G109)&lt;$B$16,$B$7/2,$B$8/2)-Inputs!$B$39))</f>
        <v>43.6590873</v>
      </c>
      <c r="J109" s="76">
        <f>IF(AND(G109&gt;=$B$14,G109&lt;=$B$15,H109&lt;=Inputs!$B$38,I109&gt;=0,$D109=1),1,0)</f>
        <v>0</v>
      </c>
      <c r="K109" s="29">
        <f>Inputs!$B$11*COS((-$B109))-Inputs!$B$7*SIN((-$B109))</f>
        <v>35.10459675</v>
      </c>
      <c r="L109" s="29">
        <f>Inputs!$B$11*SIN((-$B109))+Inputs!$B$7*COS((-$B109))</f>
        <v>-218.9882378</v>
      </c>
      <c r="M109" s="29">
        <f>SQRT((K109-Inputs!$B$5)^2+(L109-Inputs!$B$6)^2)</f>
        <v>384.6212815</v>
      </c>
      <c r="N109" s="29">
        <f>MAX(MAX(Inputs!$B$5,(Inputs!$B$5+(K109-Inputs!$B$5)*MIN(1,$B$16/M109)))+$B$7/2,MAX((Inputs!$B$5+(K109-Inputs!$B$5)*MIN(1,$B$16/M109)),K109)+Inputs!$B$41)</f>
        <v>291.8</v>
      </c>
      <c r="O109" s="29">
        <f>MIN(IF(OR(Inputs!$C$68=0,((((Inputs!$C$68*COS((-$B109))+Inputs!$B$68*SIN((-$B109)))-Inputs!$B$5)*(K109-Inputs!$B$5)+((Inputs!$C$68*SIN((-$B109))-Inputs!$B$68*COS((-$B109)))-Inputs!$B$6)*(L109-Inputs!$B$6))/M109)&lt;0,((((Inputs!$C$68*COS((-$B109))+Inputs!$B$68*SIN((-$B109)))-Inputs!$B$5)*(K109-Inputs!$B$5)+((Inputs!$C$68*SIN((-$B109))-Inputs!$B$68*COS((-$B109)))-Inputs!$B$6)*(L109-Inputs!$B$6))/M109)&gt;M109-Inputs!$B$40),999,(ABS((K109-Inputs!$B$5)*((Inputs!$C$68*SIN((-$B109))-Inputs!$B$68*COS((-$B109)))-Inputs!$B$6)-(L109-Inputs!$B$6)*((Inputs!$C$68*COS((-$B109))+Inputs!$B$68*SIN((-$B109)))-Inputs!$B$5))/M109)-IF(((((Inputs!$C$68*COS((-$B109))+Inputs!$B$68*SIN((-$B109)))-Inputs!$B$5)*(K109-Inputs!$B$5)+((Inputs!$C$68*SIN((-$B109))-Inputs!$B$68*COS((-$B109)))-Inputs!$B$6)*(L109-Inputs!$B$6))/M109)&lt;$B$16,$B$7/2,$B$8/2)-Inputs!$B$39),IF(OR(Inputs!$C$69=0,((((Inputs!$C$69*COS((-$B109))+Inputs!$B$69*SIN((-$B109)))-Inputs!$B$5)*(K109-Inputs!$B$5)+((Inputs!$C$69*SIN((-$B109))-Inputs!$B$69*COS((-$B109)))-Inputs!$B$6)*(L109-Inputs!$B$6))/M109)&lt;0,((((Inputs!$C$69*COS((-$B109))+Inputs!$B$69*SIN((-$B109)))-Inputs!$B$5)*(K109-Inputs!$B$5)+((Inputs!$C$69*SIN((-$B109))-Inputs!$B$69*COS((-$B109)))-Inputs!$B$6)*(L109-Inputs!$B$6))/M109)&gt;M109-Inputs!$B$40),999,(ABS((K109-Inputs!$B$5)*((Inputs!$C$69*SIN((-$B109))-Inputs!$B$69*COS((-$B109)))-Inputs!$B$6)-(L109-Inputs!$B$6)*((Inputs!$C$69*COS((-$B109))+Inputs!$B$69*SIN((-$B109)))-Inputs!$B$5))/M109)-IF(((((Inputs!$C$69*COS((-$B109))+Inputs!$B$69*SIN((-$B109)))-Inputs!$B$5)*(K109-Inputs!$B$5)+((Inputs!$C$69*SIN((-$B109))-Inputs!$B$69*COS((-$B109)))-Inputs!$B$6)*(L109-Inputs!$B$6))/M109)&lt;$B$16,$B$7/2,$B$8/2)-Inputs!$B$39),IF(OR(Inputs!$C$70=0,((((Inputs!$C$70*COS((-$B109))+Inputs!$B$70*SIN((-$B109)))-Inputs!$B$5)*(K109-Inputs!$B$5)+((Inputs!$C$70*SIN((-$B109))-Inputs!$B$70*COS((-$B109)))-Inputs!$B$6)*(L109-Inputs!$B$6))/M109)&lt;0,((((Inputs!$C$70*COS((-$B109))+Inputs!$B$70*SIN((-$B109)))-Inputs!$B$5)*(K109-Inputs!$B$5)+((Inputs!$C$70*SIN((-$B109))-Inputs!$B$70*COS((-$B109)))-Inputs!$B$6)*(L109-Inputs!$B$6))/M109)&gt;M109-Inputs!$B$40),999,(ABS((K109-Inputs!$B$5)*((Inputs!$C$70*SIN((-$B109))-Inputs!$B$70*COS((-$B109)))-Inputs!$B$6)-(L109-Inputs!$B$6)*((Inputs!$C$70*COS((-$B109))+Inputs!$B$70*SIN((-$B109)))-Inputs!$B$5))/M109)-IF(((((Inputs!$C$70*COS((-$B109))+Inputs!$B$70*SIN((-$B109)))-Inputs!$B$5)*(K109-Inputs!$B$5)+((Inputs!$C$70*SIN((-$B109))-Inputs!$B$70*COS((-$B109)))-Inputs!$B$6)*(L109-Inputs!$B$6))/M109)&lt;$B$16,$B$7/2,$B$8/2)-Inputs!$B$39),IF(OR(Inputs!$C$71=0,((((Inputs!$C$71*COS((-$B109))+Inputs!$B$71*SIN((-$B109)))-Inputs!$B$5)*(K109-Inputs!$B$5)+((Inputs!$C$71*SIN((-$B109))-Inputs!$B$71*COS((-$B109)))-Inputs!$B$6)*(L109-Inputs!$B$6))/M109)&lt;0,((((Inputs!$C$71*COS((-$B109))+Inputs!$B$71*SIN((-$B109)))-Inputs!$B$5)*(K109-Inputs!$B$5)+((Inputs!$C$71*SIN((-$B109))-Inputs!$B$71*COS((-$B109)))-Inputs!$B$6)*(L109-Inputs!$B$6))/M109)&gt;M109-Inputs!$B$40),999,(ABS((K109-Inputs!$B$5)*((Inputs!$C$71*SIN((-$B109))-Inputs!$B$71*COS((-$B109)))-Inputs!$B$6)-(L109-Inputs!$B$6)*((Inputs!$C$71*COS((-$B109))+Inputs!$B$71*SIN((-$B109)))-Inputs!$B$5))/M109)-IF(((((Inputs!$C$71*COS((-$B109))+Inputs!$B$71*SIN((-$B109)))-Inputs!$B$5)*(K109-Inputs!$B$5)+((Inputs!$C$71*SIN((-$B109))-Inputs!$B$71*COS((-$B109)))-Inputs!$B$6)*(L109-Inputs!$B$6))/M109)&lt;$B$16,$B$7/2,$B$8/2)-Inputs!$B$39),IF(OR(Inputs!$C$72=0,((((Inputs!$C$72*COS((-$B109))+Inputs!$B$72*SIN((-$B109)))-Inputs!$B$5)*(K109-Inputs!$B$5)+((Inputs!$C$72*SIN((-$B109))-Inputs!$B$72*COS((-$B109)))-Inputs!$B$6)*(L109-Inputs!$B$6))/M109)&lt;0,((((Inputs!$C$72*COS((-$B109))+Inputs!$B$72*SIN((-$B109)))-Inputs!$B$5)*(K109-Inputs!$B$5)+((Inputs!$C$72*SIN((-$B109))-Inputs!$B$72*COS((-$B109)))-Inputs!$B$6)*(L109-Inputs!$B$6))/M109)&gt;M109-Inputs!$B$40),999,(ABS((K109-Inputs!$B$5)*((Inputs!$C$72*SIN((-$B109))-Inputs!$B$72*COS((-$B109)))-Inputs!$B$6)-(L109-Inputs!$B$6)*((Inputs!$C$72*COS((-$B109))+Inputs!$B$72*SIN((-$B109)))-Inputs!$B$5))/M109)-IF(((((Inputs!$C$72*COS((-$B109))+Inputs!$B$72*SIN((-$B109)))-Inputs!$B$5)*(K109-Inputs!$B$5)+((Inputs!$C$72*SIN((-$B109))-Inputs!$B$72*COS((-$B109)))-Inputs!$B$6)*(L109-Inputs!$B$6))/M109)&lt;$B$16,$B$7/2,$B$8/2)-Inputs!$B$39))</f>
        <v>3.856867413</v>
      </c>
      <c r="P109" s="76">
        <f>IF(AND(M109&gt;=$B$14,M109&lt;=$B$15,N109&lt;=Inputs!$B$38,O109&gt;=0,$D109=1),1,0)</f>
        <v>0</v>
      </c>
    </row>
    <row r="110" ht="15.75" customHeight="1">
      <c r="A110" s="23">
        <v>16.75</v>
      </c>
      <c r="B110" s="40">
        <f t="shared" si="4"/>
        <v>0.2923426497</v>
      </c>
      <c r="C110" s="29">
        <f>MAX(Inputs!$C$68*COS($B110)+Inputs!$B$68*ABS(SIN($B110)),Inputs!$C$69*COS($B110)+Inputs!$B$69*ABS(SIN($B110)),Inputs!$C$70*COS($B110)+Inputs!$B$70*ABS(SIN($B110)),Inputs!$C$71*COS($B110)+Inputs!$B$71*ABS(SIN($B110)),Inputs!$C$72*COS($B110)+Inputs!$B$72*ABS(SIN($B110)))</f>
        <v>190.5456493</v>
      </c>
      <c r="D110" s="108">
        <f>IF(C110&lt;=Inputs!$B$38,1,0)</f>
        <v>1</v>
      </c>
      <c r="E110" s="29">
        <f>Inputs!$B$11*COS(($B110))-Inputs!$B$7*SIN(($B110))</f>
        <v>149.4272564</v>
      </c>
      <c r="F110" s="29">
        <f>Inputs!$B$11*SIN(($B110))+Inputs!$B$7*COS(($B110))</f>
        <v>-163.8892189</v>
      </c>
      <c r="G110" s="29">
        <f>SQRT((E110-Inputs!$B$5)^2+(F110-Inputs!$B$6)^2)</f>
        <v>282.4046681</v>
      </c>
      <c r="H110" s="29">
        <f>MAX(MAX(Inputs!$B$5,(Inputs!$B$5+(E110-Inputs!$B$5)*MIN(1,$B$16/G110)))+$B$7/2,MAX((Inputs!$B$5+(E110-Inputs!$B$5)*MIN(1,$B$16/G110)),E110)+Inputs!$B$41)</f>
        <v>291.8</v>
      </c>
      <c r="I110" s="29">
        <f>MIN(IF(OR(Inputs!$C$68=0,((((Inputs!$C$68*COS(($B110))+Inputs!$B$68*SIN(($B110)))-Inputs!$B$5)*(E110-Inputs!$B$5)+((Inputs!$C$68*SIN(($B110))-Inputs!$B$68*COS(($B110)))-Inputs!$B$6)*(F110-Inputs!$B$6))/G110)&lt;0,((((Inputs!$C$68*COS(($B110))+Inputs!$B$68*SIN(($B110)))-Inputs!$B$5)*(E110-Inputs!$B$5)+((Inputs!$C$68*SIN(($B110))-Inputs!$B$68*COS(($B110)))-Inputs!$B$6)*(F110-Inputs!$B$6))/G110)&gt;G110-Inputs!$B$40),999,(ABS((E110-Inputs!$B$5)*((Inputs!$C$68*SIN(($B110))-Inputs!$B$68*COS(($B110)))-Inputs!$B$6)-(F110-Inputs!$B$6)*((Inputs!$C$68*COS(($B110))+Inputs!$B$68*SIN(($B110)))-Inputs!$B$5))/G110)-IF(((((Inputs!$C$68*COS(($B110))+Inputs!$B$68*SIN(($B110)))-Inputs!$B$5)*(E110-Inputs!$B$5)+((Inputs!$C$68*SIN(($B110))-Inputs!$B$68*COS(($B110)))-Inputs!$B$6)*(F110-Inputs!$B$6))/G110)&lt;$B$16,$B$7/2,$B$8/2)-Inputs!$B$39),IF(OR(Inputs!$C$69=0,((((Inputs!$C$69*COS(($B110))+Inputs!$B$69*SIN(($B110)))-Inputs!$B$5)*(E110-Inputs!$B$5)+((Inputs!$C$69*SIN(($B110))-Inputs!$B$69*COS(($B110)))-Inputs!$B$6)*(F110-Inputs!$B$6))/G110)&lt;0,((((Inputs!$C$69*COS(($B110))+Inputs!$B$69*SIN(($B110)))-Inputs!$B$5)*(E110-Inputs!$B$5)+((Inputs!$C$69*SIN(($B110))-Inputs!$B$69*COS(($B110)))-Inputs!$B$6)*(F110-Inputs!$B$6))/G110)&gt;G110-Inputs!$B$40),999,(ABS((E110-Inputs!$B$5)*((Inputs!$C$69*SIN(($B110))-Inputs!$B$69*COS(($B110)))-Inputs!$B$6)-(F110-Inputs!$B$6)*((Inputs!$C$69*COS(($B110))+Inputs!$B$69*SIN(($B110)))-Inputs!$B$5))/G110)-IF(((((Inputs!$C$69*COS(($B110))+Inputs!$B$69*SIN(($B110)))-Inputs!$B$5)*(E110-Inputs!$B$5)+((Inputs!$C$69*SIN(($B110))-Inputs!$B$69*COS(($B110)))-Inputs!$B$6)*(F110-Inputs!$B$6))/G110)&lt;$B$16,$B$7/2,$B$8/2)-Inputs!$B$39),IF(OR(Inputs!$C$70=0,((((Inputs!$C$70*COS(($B110))+Inputs!$B$70*SIN(($B110)))-Inputs!$B$5)*(E110-Inputs!$B$5)+((Inputs!$C$70*SIN(($B110))-Inputs!$B$70*COS(($B110)))-Inputs!$B$6)*(F110-Inputs!$B$6))/G110)&lt;0,((((Inputs!$C$70*COS(($B110))+Inputs!$B$70*SIN(($B110)))-Inputs!$B$5)*(E110-Inputs!$B$5)+((Inputs!$C$70*SIN(($B110))-Inputs!$B$70*COS(($B110)))-Inputs!$B$6)*(F110-Inputs!$B$6))/G110)&gt;G110-Inputs!$B$40),999,(ABS((E110-Inputs!$B$5)*((Inputs!$C$70*SIN(($B110))-Inputs!$B$70*COS(($B110)))-Inputs!$B$6)-(F110-Inputs!$B$6)*((Inputs!$C$70*COS(($B110))+Inputs!$B$70*SIN(($B110)))-Inputs!$B$5))/G110)-IF(((((Inputs!$C$70*COS(($B110))+Inputs!$B$70*SIN(($B110)))-Inputs!$B$5)*(E110-Inputs!$B$5)+((Inputs!$C$70*SIN(($B110))-Inputs!$B$70*COS(($B110)))-Inputs!$B$6)*(F110-Inputs!$B$6))/G110)&lt;$B$16,$B$7/2,$B$8/2)-Inputs!$B$39),IF(OR(Inputs!$C$71=0,((((Inputs!$C$71*COS(($B110))+Inputs!$B$71*SIN(($B110)))-Inputs!$B$5)*(E110-Inputs!$B$5)+((Inputs!$C$71*SIN(($B110))-Inputs!$B$71*COS(($B110)))-Inputs!$B$6)*(F110-Inputs!$B$6))/G110)&lt;0,((((Inputs!$C$71*COS(($B110))+Inputs!$B$71*SIN(($B110)))-Inputs!$B$5)*(E110-Inputs!$B$5)+((Inputs!$C$71*SIN(($B110))-Inputs!$B$71*COS(($B110)))-Inputs!$B$6)*(F110-Inputs!$B$6))/G110)&gt;G110-Inputs!$B$40),999,(ABS((E110-Inputs!$B$5)*((Inputs!$C$71*SIN(($B110))-Inputs!$B$71*COS(($B110)))-Inputs!$B$6)-(F110-Inputs!$B$6)*((Inputs!$C$71*COS(($B110))+Inputs!$B$71*SIN(($B110)))-Inputs!$B$5))/G110)-IF(((((Inputs!$C$71*COS(($B110))+Inputs!$B$71*SIN(($B110)))-Inputs!$B$5)*(E110-Inputs!$B$5)+((Inputs!$C$71*SIN(($B110))-Inputs!$B$71*COS(($B110)))-Inputs!$B$6)*(F110-Inputs!$B$6))/G110)&lt;$B$16,$B$7/2,$B$8/2)-Inputs!$B$39),IF(OR(Inputs!$C$72=0,((((Inputs!$C$72*COS(($B110))+Inputs!$B$72*SIN(($B110)))-Inputs!$B$5)*(E110-Inputs!$B$5)+((Inputs!$C$72*SIN(($B110))-Inputs!$B$72*COS(($B110)))-Inputs!$B$6)*(F110-Inputs!$B$6))/G110)&lt;0,((((Inputs!$C$72*COS(($B110))+Inputs!$B$72*SIN(($B110)))-Inputs!$B$5)*(E110-Inputs!$B$5)+((Inputs!$C$72*SIN(($B110))-Inputs!$B$72*COS(($B110)))-Inputs!$B$6)*(F110-Inputs!$B$6))/G110)&gt;G110-Inputs!$B$40),999,(ABS((E110-Inputs!$B$5)*((Inputs!$C$72*SIN(($B110))-Inputs!$B$72*COS(($B110)))-Inputs!$B$6)-(F110-Inputs!$B$6)*((Inputs!$C$72*COS(($B110))+Inputs!$B$72*SIN(($B110)))-Inputs!$B$5))/G110)-IF(((((Inputs!$C$72*COS(($B110))+Inputs!$B$72*SIN(($B110)))-Inputs!$B$5)*(E110-Inputs!$B$5)+((Inputs!$C$72*SIN(($B110))-Inputs!$B$72*COS(($B110)))-Inputs!$B$6)*(F110-Inputs!$B$6))/G110)&lt;$B$16,$B$7/2,$B$8/2)-Inputs!$B$39))</f>
        <v>43.84047589</v>
      </c>
      <c r="J110" s="76">
        <f>IF(AND(G110&gt;=$B$14,G110&lt;=$B$15,H110&lt;=Inputs!$B$38,I110&gt;=0,$D110=1),1,0)</f>
        <v>0</v>
      </c>
      <c r="K110" s="29">
        <f>Inputs!$B$11*COS((-$B110))-Inputs!$B$7*SIN((-$B110))</f>
        <v>34.14874916</v>
      </c>
      <c r="L110" s="29">
        <f>Inputs!$B$11*SIN((-$B110))+Inputs!$B$7*COS((-$B110))</f>
        <v>-219.1393254</v>
      </c>
      <c r="M110" s="29">
        <f>SQRT((K110-Inputs!$B$5)^2+(L110-Inputs!$B$6)^2)</f>
        <v>385.2812888</v>
      </c>
      <c r="N110" s="29">
        <f>MAX(MAX(Inputs!$B$5,(Inputs!$B$5+(K110-Inputs!$B$5)*MIN(1,$B$16/M110)))+$B$7/2,MAX((Inputs!$B$5+(K110-Inputs!$B$5)*MIN(1,$B$16/M110)),K110)+Inputs!$B$41)</f>
        <v>291.8</v>
      </c>
      <c r="O110" s="29">
        <f>MIN(IF(OR(Inputs!$C$68=0,((((Inputs!$C$68*COS((-$B110))+Inputs!$B$68*SIN((-$B110)))-Inputs!$B$5)*(K110-Inputs!$B$5)+((Inputs!$C$68*SIN((-$B110))-Inputs!$B$68*COS((-$B110)))-Inputs!$B$6)*(L110-Inputs!$B$6))/M110)&lt;0,((((Inputs!$C$68*COS((-$B110))+Inputs!$B$68*SIN((-$B110)))-Inputs!$B$5)*(K110-Inputs!$B$5)+((Inputs!$C$68*SIN((-$B110))-Inputs!$B$68*COS((-$B110)))-Inputs!$B$6)*(L110-Inputs!$B$6))/M110)&gt;M110-Inputs!$B$40),999,(ABS((K110-Inputs!$B$5)*((Inputs!$C$68*SIN((-$B110))-Inputs!$B$68*COS((-$B110)))-Inputs!$B$6)-(L110-Inputs!$B$6)*((Inputs!$C$68*COS((-$B110))+Inputs!$B$68*SIN((-$B110)))-Inputs!$B$5))/M110)-IF(((((Inputs!$C$68*COS((-$B110))+Inputs!$B$68*SIN((-$B110)))-Inputs!$B$5)*(K110-Inputs!$B$5)+((Inputs!$C$68*SIN((-$B110))-Inputs!$B$68*COS((-$B110)))-Inputs!$B$6)*(L110-Inputs!$B$6))/M110)&lt;$B$16,$B$7/2,$B$8/2)-Inputs!$B$39),IF(OR(Inputs!$C$69=0,((((Inputs!$C$69*COS((-$B110))+Inputs!$B$69*SIN((-$B110)))-Inputs!$B$5)*(K110-Inputs!$B$5)+((Inputs!$C$69*SIN((-$B110))-Inputs!$B$69*COS((-$B110)))-Inputs!$B$6)*(L110-Inputs!$B$6))/M110)&lt;0,((((Inputs!$C$69*COS((-$B110))+Inputs!$B$69*SIN((-$B110)))-Inputs!$B$5)*(K110-Inputs!$B$5)+((Inputs!$C$69*SIN((-$B110))-Inputs!$B$69*COS((-$B110)))-Inputs!$B$6)*(L110-Inputs!$B$6))/M110)&gt;M110-Inputs!$B$40),999,(ABS((K110-Inputs!$B$5)*((Inputs!$C$69*SIN((-$B110))-Inputs!$B$69*COS((-$B110)))-Inputs!$B$6)-(L110-Inputs!$B$6)*((Inputs!$C$69*COS((-$B110))+Inputs!$B$69*SIN((-$B110)))-Inputs!$B$5))/M110)-IF(((((Inputs!$C$69*COS((-$B110))+Inputs!$B$69*SIN((-$B110)))-Inputs!$B$5)*(K110-Inputs!$B$5)+((Inputs!$C$69*SIN((-$B110))-Inputs!$B$69*COS((-$B110)))-Inputs!$B$6)*(L110-Inputs!$B$6))/M110)&lt;$B$16,$B$7/2,$B$8/2)-Inputs!$B$39),IF(OR(Inputs!$C$70=0,((((Inputs!$C$70*COS((-$B110))+Inputs!$B$70*SIN((-$B110)))-Inputs!$B$5)*(K110-Inputs!$B$5)+((Inputs!$C$70*SIN((-$B110))-Inputs!$B$70*COS((-$B110)))-Inputs!$B$6)*(L110-Inputs!$B$6))/M110)&lt;0,((((Inputs!$C$70*COS((-$B110))+Inputs!$B$70*SIN((-$B110)))-Inputs!$B$5)*(K110-Inputs!$B$5)+((Inputs!$C$70*SIN((-$B110))-Inputs!$B$70*COS((-$B110)))-Inputs!$B$6)*(L110-Inputs!$B$6))/M110)&gt;M110-Inputs!$B$40),999,(ABS((K110-Inputs!$B$5)*((Inputs!$C$70*SIN((-$B110))-Inputs!$B$70*COS((-$B110)))-Inputs!$B$6)-(L110-Inputs!$B$6)*((Inputs!$C$70*COS((-$B110))+Inputs!$B$70*SIN((-$B110)))-Inputs!$B$5))/M110)-IF(((((Inputs!$C$70*COS((-$B110))+Inputs!$B$70*SIN((-$B110)))-Inputs!$B$5)*(K110-Inputs!$B$5)+((Inputs!$C$70*SIN((-$B110))-Inputs!$B$70*COS((-$B110)))-Inputs!$B$6)*(L110-Inputs!$B$6))/M110)&lt;$B$16,$B$7/2,$B$8/2)-Inputs!$B$39),IF(OR(Inputs!$C$71=0,((((Inputs!$C$71*COS((-$B110))+Inputs!$B$71*SIN((-$B110)))-Inputs!$B$5)*(K110-Inputs!$B$5)+((Inputs!$C$71*SIN((-$B110))-Inputs!$B$71*COS((-$B110)))-Inputs!$B$6)*(L110-Inputs!$B$6))/M110)&lt;0,((((Inputs!$C$71*COS((-$B110))+Inputs!$B$71*SIN((-$B110)))-Inputs!$B$5)*(K110-Inputs!$B$5)+((Inputs!$C$71*SIN((-$B110))-Inputs!$B$71*COS((-$B110)))-Inputs!$B$6)*(L110-Inputs!$B$6))/M110)&gt;M110-Inputs!$B$40),999,(ABS((K110-Inputs!$B$5)*((Inputs!$C$71*SIN((-$B110))-Inputs!$B$71*COS((-$B110)))-Inputs!$B$6)-(L110-Inputs!$B$6)*((Inputs!$C$71*COS((-$B110))+Inputs!$B$71*SIN((-$B110)))-Inputs!$B$5))/M110)-IF(((((Inputs!$C$71*COS((-$B110))+Inputs!$B$71*SIN((-$B110)))-Inputs!$B$5)*(K110-Inputs!$B$5)+((Inputs!$C$71*SIN((-$B110))-Inputs!$B$71*COS((-$B110)))-Inputs!$B$6)*(L110-Inputs!$B$6))/M110)&lt;$B$16,$B$7/2,$B$8/2)-Inputs!$B$39),IF(OR(Inputs!$C$72=0,((((Inputs!$C$72*COS((-$B110))+Inputs!$B$72*SIN((-$B110)))-Inputs!$B$5)*(K110-Inputs!$B$5)+((Inputs!$C$72*SIN((-$B110))-Inputs!$B$72*COS((-$B110)))-Inputs!$B$6)*(L110-Inputs!$B$6))/M110)&lt;0,((((Inputs!$C$72*COS((-$B110))+Inputs!$B$72*SIN((-$B110)))-Inputs!$B$5)*(K110-Inputs!$B$5)+((Inputs!$C$72*SIN((-$B110))-Inputs!$B$72*COS((-$B110)))-Inputs!$B$6)*(L110-Inputs!$B$6))/M110)&gt;M110-Inputs!$B$40),999,(ABS((K110-Inputs!$B$5)*((Inputs!$C$72*SIN((-$B110))-Inputs!$B$72*COS((-$B110)))-Inputs!$B$6)-(L110-Inputs!$B$6)*((Inputs!$C$72*COS((-$B110))+Inputs!$B$72*SIN((-$B110)))-Inputs!$B$5))/M110)-IF(((((Inputs!$C$72*COS((-$B110))+Inputs!$B$72*SIN((-$B110)))-Inputs!$B$5)*(K110-Inputs!$B$5)+((Inputs!$C$72*SIN((-$B110))-Inputs!$B$72*COS((-$B110)))-Inputs!$B$6)*(L110-Inputs!$B$6))/M110)&lt;$B$16,$B$7/2,$B$8/2)-Inputs!$B$39))</f>
        <v>3.52480205</v>
      </c>
      <c r="P110" s="76">
        <f>IF(AND(M110&gt;=$B$14,M110&lt;=$B$15,N110&lt;=Inputs!$B$38,O110&gt;=0,$D110=1),1,0)</f>
        <v>0</v>
      </c>
    </row>
    <row r="111" ht="15.75" customHeight="1">
      <c r="A111" s="23">
        <v>17.0</v>
      </c>
      <c r="B111" s="40">
        <f t="shared" si="4"/>
        <v>0.2967059728</v>
      </c>
      <c r="C111" s="29">
        <f>MAX(Inputs!$C$68*COS($B111)+Inputs!$B$68*ABS(SIN($B111)),Inputs!$C$69*COS($B111)+Inputs!$B$69*ABS(SIN($B111)),Inputs!$C$70*COS($B111)+Inputs!$B$70*ABS(SIN($B111)),Inputs!$C$71*COS($B111)+Inputs!$B$71*ABS(SIN($B111)),Inputs!$C$72*COS($B111)+Inputs!$B$72*ABS(SIN($B111)))</f>
        <v>192.1102422</v>
      </c>
      <c r="D111" s="108">
        <f>IF(C111&lt;=Inputs!$B$38,1,0)</f>
        <v>1</v>
      </c>
      <c r="E111" s="29">
        <f>Inputs!$B$11*COS(($B111))-Inputs!$B$7*SIN(($B111))</f>
        <v>150.1409333</v>
      </c>
      <c r="F111" s="29">
        <f>Inputs!$B$11*SIN(($B111))+Inputs!$B$7*COS(($B111))</f>
        <v>-163.2356614</v>
      </c>
      <c r="G111" s="29">
        <f>SQRT((E111-Inputs!$B$5)^2+(F111-Inputs!$B$6)^2)</f>
        <v>281.5401333</v>
      </c>
      <c r="H111" s="29">
        <f>MAX(MAX(Inputs!$B$5,(Inputs!$B$5+(E111-Inputs!$B$5)*MIN(1,$B$16/G111)))+$B$7/2,MAX((Inputs!$B$5+(E111-Inputs!$B$5)*MIN(1,$B$16/G111)),E111)+Inputs!$B$41)</f>
        <v>291.8</v>
      </c>
      <c r="I111" s="29">
        <f>MIN(IF(OR(Inputs!$C$68=0,((((Inputs!$C$68*COS(($B111))+Inputs!$B$68*SIN(($B111)))-Inputs!$B$5)*(E111-Inputs!$B$5)+((Inputs!$C$68*SIN(($B111))-Inputs!$B$68*COS(($B111)))-Inputs!$B$6)*(F111-Inputs!$B$6))/G111)&lt;0,((((Inputs!$C$68*COS(($B111))+Inputs!$B$68*SIN(($B111)))-Inputs!$B$5)*(E111-Inputs!$B$5)+((Inputs!$C$68*SIN(($B111))-Inputs!$B$68*COS(($B111)))-Inputs!$B$6)*(F111-Inputs!$B$6))/G111)&gt;G111-Inputs!$B$40),999,(ABS((E111-Inputs!$B$5)*((Inputs!$C$68*SIN(($B111))-Inputs!$B$68*COS(($B111)))-Inputs!$B$6)-(F111-Inputs!$B$6)*((Inputs!$C$68*COS(($B111))+Inputs!$B$68*SIN(($B111)))-Inputs!$B$5))/G111)-IF(((((Inputs!$C$68*COS(($B111))+Inputs!$B$68*SIN(($B111)))-Inputs!$B$5)*(E111-Inputs!$B$5)+((Inputs!$C$68*SIN(($B111))-Inputs!$B$68*COS(($B111)))-Inputs!$B$6)*(F111-Inputs!$B$6))/G111)&lt;$B$16,$B$7/2,$B$8/2)-Inputs!$B$39),IF(OR(Inputs!$C$69=0,((((Inputs!$C$69*COS(($B111))+Inputs!$B$69*SIN(($B111)))-Inputs!$B$5)*(E111-Inputs!$B$5)+((Inputs!$C$69*SIN(($B111))-Inputs!$B$69*COS(($B111)))-Inputs!$B$6)*(F111-Inputs!$B$6))/G111)&lt;0,((((Inputs!$C$69*COS(($B111))+Inputs!$B$69*SIN(($B111)))-Inputs!$B$5)*(E111-Inputs!$B$5)+((Inputs!$C$69*SIN(($B111))-Inputs!$B$69*COS(($B111)))-Inputs!$B$6)*(F111-Inputs!$B$6))/G111)&gt;G111-Inputs!$B$40),999,(ABS((E111-Inputs!$B$5)*((Inputs!$C$69*SIN(($B111))-Inputs!$B$69*COS(($B111)))-Inputs!$B$6)-(F111-Inputs!$B$6)*((Inputs!$C$69*COS(($B111))+Inputs!$B$69*SIN(($B111)))-Inputs!$B$5))/G111)-IF(((((Inputs!$C$69*COS(($B111))+Inputs!$B$69*SIN(($B111)))-Inputs!$B$5)*(E111-Inputs!$B$5)+((Inputs!$C$69*SIN(($B111))-Inputs!$B$69*COS(($B111)))-Inputs!$B$6)*(F111-Inputs!$B$6))/G111)&lt;$B$16,$B$7/2,$B$8/2)-Inputs!$B$39),IF(OR(Inputs!$C$70=0,((((Inputs!$C$70*COS(($B111))+Inputs!$B$70*SIN(($B111)))-Inputs!$B$5)*(E111-Inputs!$B$5)+((Inputs!$C$70*SIN(($B111))-Inputs!$B$70*COS(($B111)))-Inputs!$B$6)*(F111-Inputs!$B$6))/G111)&lt;0,((((Inputs!$C$70*COS(($B111))+Inputs!$B$70*SIN(($B111)))-Inputs!$B$5)*(E111-Inputs!$B$5)+((Inputs!$C$70*SIN(($B111))-Inputs!$B$70*COS(($B111)))-Inputs!$B$6)*(F111-Inputs!$B$6))/G111)&gt;G111-Inputs!$B$40),999,(ABS((E111-Inputs!$B$5)*((Inputs!$C$70*SIN(($B111))-Inputs!$B$70*COS(($B111)))-Inputs!$B$6)-(F111-Inputs!$B$6)*((Inputs!$C$70*COS(($B111))+Inputs!$B$70*SIN(($B111)))-Inputs!$B$5))/G111)-IF(((((Inputs!$C$70*COS(($B111))+Inputs!$B$70*SIN(($B111)))-Inputs!$B$5)*(E111-Inputs!$B$5)+((Inputs!$C$70*SIN(($B111))-Inputs!$B$70*COS(($B111)))-Inputs!$B$6)*(F111-Inputs!$B$6))/G111)&lt;$B$16,$B$7/2,$B$8/2)-Inputs!$B$39),IF(OR(Inputs!$C$71=0,((((Inputs!$C$71*COS(($B111))+Inputs!$B$71*SIN(($B111)))-Inputs!$B$5)*(E111-Inputs!$B$5)+((Inputs!$C$71*SIN(($B111))-Inputs!$B$71*COS(($B111)))-Inputs!$B$6)*(F111-Inputs!$B$6))/G111)&lt;0,((((Inputs!$C$71*COS(($B111))+Inputs!$B$71*SIN(($B111)))-Inputs!$B$5)*(E111-Inputs!$B$5)+((Inputs!$C$71*SIN(($B111))-Inputs!$B$71*COS(($B111)))-Inputs!$B$6)*(F111-Inputs!$B$6))/G111)&gt;G111-Inputs!$B$40),999,(ABS((E111-Inputs!$B$5)*((Inputs!$C$71*SIN(($B111))-Inputs!$B$71*COS(($B111)))-Inputs!$B$6)-(F111-Inputs!$B$6)*((Inputs!$C$71*COS(($B111))+Inputs!$B$71*SIN(($B111)))-Inputs!$B$5))/G111)-IF(((((Inputs!$C$71*COS(($B111))+Inputs!$B$71*SIN(($B111)))-Inputs!$B$5)*(E111-Inputs!$B$5)+((Inputs!$C$71*SIN(($B111))-Inputs!$B$71*COS(($B111)))-Inputs!$B$6)*(F111-Inputs!$B$6))/G111)&lt;$B$16,$B$7/2,$B$8/2)-Inputs!$B$39),IF(OR(Inputs!$C$72=0,((((Inputs!$C$72*COS(($B111))+Inputs!$B$72*SIN(($B111)))-Inputs!$B$5)*(E111-Inputs!$B$5)+((Inputs!$C$72*SIN(($B111))-Inputs!$B$72*COS(($B111)))-Inputs!$B$6)*(F111-Inputs!$B$6))/G111)&lt;0,((((Inputs!$C$72*COS(($B111))+Inputs!$B$72*SIN(($B111)))-Inputs!$B$5)*(E111-Inputs!$B$5)+((Inputs!$C$72*SIN(($B111))-Inputs!$B$72*COS(($B111)))-Inputs!$B$6)*(F111-Inputs!$B$6))/G111)&gt;G111-Inputs!$B$40),999,(ABS((E111-Inputs!$B$5)*((Inputs!$C$72*SIN(($B111))-Inputs!$B$72*COS(($B111)))-Inputs!$B$6)-(F111-Inputs!$B$6)*((Inputs!$C$72*COS(($B111))+Inputs!$B$72*SIN(($B111)))-Inputs!$B$5))/G111)-IF(((((Inputs!$C$72*COS(($B111))+Inputs!$B$72*SIN(($B111)))-Inputs!$B$5)*(E111-Inputs!$B$5)+((Inputs!$C$72*SIN(($B111))-Inputs!$B$72*COS(($B111)))-Inputs!$B$6)*(F111-Inputs!$B$6))/G111)&lt;$B$16,$B$7/2,$B$8/2)-Inputs!$B$39))</f>
        <v>44.02141059</v>
      </c>
      <c r="J111" s="76">
        <f>IF(AND(G111&gt;=$B$14,G111&lt;=$B$15,H111&lt;=Inputs!$B$38,I111&gt;=0,$D111=1),1,0)</f>
        <v>0</v>
      </c>
      <c r="K111" s="29">
        <f>Inputs!$B$11*COS((-$B111))-Inputs!$B$7*SIN((-$B111))</f>
        <v>33.19225144</v>
      </c>
      <c r="L111" s="29">
        <f>Inputs!$B$11*SIN((-$B111))+Inputs!$B$7*COS((-$B111))</f>
        <v>-219.2862409</v>
      </c>
      <c r="M111" s="29">
        <f>SQRT((K111-Inputs!$B$5)^2+(L111-Inputs!$B$6)^2)</f>
        <v>385.9395076</v>
      </c>
      <c r="N111" s="29">
        <f>MAX(MAX(Inputs!$B$5,(Inputs!$B$5+(K111-Inputs!$B$5)*MIN(1,$B$16/M111)))+$B$7/2,MAX((Inputs!$B$5+(K111-Inputs!$B$5)*MIN(1,$B$16/M111)),K111)+Inputs!$B$41)</f>
        <v>291.8</v>
      </c>
      <c r="O111" s="29">
        <f>MIN(IF(OR(Inputs!$C$68=0,((((Inputs!$C$68*COS((-$B111))+Inputs!$B$68*SIN((-$B111)))-Inputs!$B$5)*(K111-Inputs!$B$5)+((Inputs!$C$68*SIN((-$B111))-Inputs!$B$68*COS((-$B111)))-Inputs!$B$6)*(L111-Inputs!$B$6))/M111)&lt;0,((((Inputs!$C$68*COS((-$B111))+Inputs!$B$68*SIN((-$B111)))-Inputs!$B$5)*(K111-Inputs!$B$5)+((Inputs!$C$68*SIN((-$B111))-Inputs!$B$68*COS((-$B111)))-Inputs!$B$6)*(L111-Inputs!$B$6))/M111)&gt;M111-Inputs!$B$40),999,(ABS((K111-Inputs!$B$5)*((Inputs!$C$68*SIN((-$B111))-Inputs!$B$68*COS((-$B111)))-Inputs!$B$6)-(L111-Inputs!$B$6)*((Inputs!$C$68*COS((-$B111))+Inputs!$B$68*SIN((-$B111)))-Inputs!$B$5))/M111)-IF(((((Inputs!$C$68*COS((-$B111))+Inputs!$B$68*SIN((-$B111)))-Inputs!$B$5)*(K111-Inputs!$B$5)+((Inputs!$C$68*SIN((-$B111))-Inputs!$B$68*COS((-$B111)))-Inputs!$B$6)*(L111-Inputs!$B$6))/M111)&lt;$B$16,$B$7/2,$B$8/2)-Inputs!$B$39),IF(OR(Inputs!$C$69=0,((((Inputs!$C$69*COS((-$B111))+Inputs!$B$69*SIN((-$B111)))-Inputs!$B$5)*(K111-Inputs!$B$5)+((Inputs!$C$69*SIN((-$B111))-Inputs!$B$69*COS((-$B111)))-Inputs!$B$6)*(L111-Inputs!$B$6))/M111)&lt;0,((((Inputs!$C$69*COS((-$B111))+Inputs!$B$69*SIN((-$B111)))-Inputs!$B$5)*(K111-Inputs!$B$5)+((Inputs!$C$69*SIN((-$B111))-Inputs!$B$69*COS((-$B111)))-Inputs!$B$6)*(L111-Inputs!$B$6))/M111)&gt;M111-Inputs!$B$40),999,(ABS((K111-Inputs!$B$5)*((Inputs!$C$69*SIN((-$B111))-Inputs!$B$69*COS((-$B111)))-Inputs!$B$6)-(L111-Inputs!$B$6)*((Inputs!$C$69*COS((-$B111))+Inputs!$B$69*SIN((-$B111)))-Inputs!$B$5))/M111)-IF(((((Inputs!$C$69*COS((-$B111))+Inputs!$B$69*SIN((-$B111)))-Inputs!$B$5)*(K111-Inputs!$B$5)+((Inputs!$C$69*SIN((-$B111))-Inputs!$B$69*COS((-$B111)))-Inputs!$B$6)*(L111-Inputs!$B$6))/M111)&lt;$B$16,$B$7/2,$B$8/2)-Inputs!$B$39),IF(OR(Inputs!$C$70=0,((((Inputs!$C$70*COS((-$B111))+Inputs!$B$70*SIN((-$B111)))-Inputs!$B$5)*(K111-Inputs!$B$5)+((Inputs!$C$70*SIN((-$B111))-Inputs!$B$70*COS((-$B111)))-Inputs!$B$6)*(L111-Inputs!$B$6))/M111)&lt;0,((((Inputs!$C$70*COS((-$B111))+Inputs!$B$70*SIN((-$B111)))-Inputs!$B$5)*(K111-Inputs!$B$5)+((Inputs!$C$70*SIN((-$B111))-Inputs!$B$70*COS((-$B111)))-Inputs!$B$6)*(L111-Inputs!$B$6))/M111)&gt;M111-Inputs!$B$40),999,(ABS((K111-Inputs!$B$5)*((Inputs!$C$70*SIN((-$B111))-Inputs!$B$70*COS((-$B111)))-Inputs!$B$6)-(L111-Inputs!$B$6)*((Inputs!$C$70*COS((-$B111))+Inputs!$B$70*SIN((-$B111)))-Inputs!$B$5))/M111)-IF(((((Inputs!$C$70*COS((-$B111))+Inputs!$B$70*SIN((-$B111)))-Inputs!$B$5)*(K111-Inputs!$B$5)+((Inputs!$C$70*SIN((-$B111))-Inputs!$B$70*COS((-$B111)))-Inputs!$B$6)*(L111-Inputs!$B$6))/M111)&lt;$B$16,$B$7/2,$B$8/2)-Inputs!$B$39),IF(OR(Inputs!$C$71=0,((((Inputs!$C$71*COS((-$B111))+Inputs!$B$71*SIN((-$B111)))-Inputs!$B$5)*(K111-Inputs!$B$5)+((Inputs!$C$71*SIN((-$B111))-Inputs!$B$71*COS((-$B111)))-Inputs!$B$6)*(L111-Inputs!$B$6))/M111)&lt;0,((((Inputs!$C$71*COS((-$B111))+Inputs!$B$71*SIN((-$B111)))-Inputs!$B$5)*(K111-Inputs!$B$5)+((Inputs!$C$71*SIN((-$B111))-Inputs!$B$71*COS((-$B111)))-Inputs!$B$6)*(L111-Inputs!$B$6))/M111)&gt;M111-Inputs!$B$40),999,(ABS((K111-Inputs!$B$5)*((Inputs!$C$71*SIN((-$B111))-Inputs!$B$71*COS((-$B111)))-Inputs!$B$6)-(L111-Inputs!$B$6)*((Inputs!$C$71*COS((-$B111))+Inputs!$B$71*SIN((-$B111)))-Inputs!$B$5))/M111)-IF(((((Inputs!$C$71*COS((-$B111))+Inputs!$B$71*SIN((-$B111)))-Inputs!$B$5)*(K111-Inputs!$B$5)+((Inputs!$C$71*SIN((-$B111))-Inputs!$B$71*COS((-$B111)))-Inputs!$B$6)*(L111-Inputs!$B$6))/M111)&lt;$B$16,$B$7/2,$B$8/2)-Inputs!$B$39),IF(OR(Inputs!$C$72=0,((((Inputs!$C$72*COS((-$B111))+Inputs!$B$72*SIN((-$B111)))-Inputs!$B$5)*(K111-Inputs!$B$5)+((Inputs!$C$72*SIN((-$B111))-Inputs!$B$72*COS((-$B111)))-Inputs!$B$6)*(L111-Inputs!$B$6))/M111)&lt;0,((((Inputs!$C$72*COS((-$B111))+Inputs!$B$72*SIN((-$B111)))-Inputs!$B$5)*(K111-Inputs!$B$5)+((Inputs!$C$72*SIN((-$B111))-Inputs!$B$72*COS((-$B111)))-Inputs!$B$6)*(L111-Inputs!$B$6))/M111)&gt;M111-Inputs!$B$40),999,(ABS((K111-Inputs!$B$5)*((Inputs!$C$72*SIN((-$B111))-Inputs!$B$72*COS((-$B111)))-Inputs!$B$6)-(L111-Inputs!$B$6)*((Inputs!$C$72*COS((-$B111))+Inputs!$B$72*SIN((-$B111)))-Inputs!$B$5))/M111)-IF(((((Inputs!$C$72*COS((-$B111))+Inputs!$B$72*SIN((-$B111)))-Inputs!$B$5)*(K111-Inputs!$B$5)+((Inputs!$C$72*SIN((-$B111))-Inputs!$B$72*COS((-$B111)))-Inputs!$B$6)*(L111-Inputs!$B$6))/M111)&lt;$B$16,$B$7/2,$B$8/2)-Inputs!$B$39))</f>
        <v>3.192583006</v>
      </c>
      <c r="P111" s="76">
        <f>IF(AND(M111&gt;=$B$14,M111&lt;=$B$15,N111&lt;=Inputs!$B$38,O111&gt;=0,$D111=1),1,0)</f>
        <v>0</v>
      </c>
    </row>
    <row r="112" ht="15.75" customHeight="1">
      <c r="A112" s="23">
        <v>17.25</v>
      </c>
      <c r="B112" s="40">
        <f t="shared" si="4"/>
        <v>0.301069296</v>
      </c>
      <c r="C112" s="29">
        <f>MAX(Inputs!$C$68*COS($B112)+Inputs!$B$68*ABS(SIN($B112)),Inputs!$C$69*COS($B112)+Inputs!$B$69*ABS(SIN($B112)),Inputs!$C$70*COS($B112)+Inputs!$B$70*ABS(SIN($B112)),Inputs!$C$71*COS($B112)+Inputs!$B$71*ABS(SIN($B112)),Inputs!$C$72*COS($B112)+Inputs!$B$72*ABS(SIN($B112)))</f>
        <v>193.6711776</v>
      </c>
      <c r="D112" s="108">
        <f>IF(C112&lt;=Inputs!$B$38,1,0)</f>
        <v>1</v>
      </c>
      <c r="E112" s="29">
        <f>Inputs!$B$11*COS(($B112))-Inputs!$B$7*SIN(($B112))</f>
        <v>150.8517518</v>
      </c>
      <c r="F112" s="29">
        <f>Inputs!$B$11*SIN(($B112))+Inputs!$B$7*COS(($B112))</f>
        <v>-162.5789962</v>
      </c>
      <c r="G112" s="29">
        <f>SQRT((E112-Inputs!$B$5)^2+(F112-Inputs!$B$6)^2)</f>
        <v>280.6743743</v>
      </c>
      <c r="H112" s="29">
        <f>MAX(MAX(Inputs!$B$5,(Inputs!$B$5+(E112-Inputs!$B$5)*MIN(1,$B$16/G112)))+$B$7/2,MAX((Inputs!$B$5+(E112-Inputs!$B$5)*MIN(1,$B$16/G112)),E112)+Inputs!$B$41)</f>
        <v>291.8</v>
      </c>
      <c r="I112" s="29">
        <f>MIN(IF(OR(Inputs!$C$68=0,((((Inputs!$C$68*COS(($B112))+Inputs!$B$68*SIN(($B112)))-Inputs!$B$5)*(E112-Inputs!$B$5)+((Inputs!$C$68*SIN(($B112))-Inputs!$B$68*COS(($B112)))-Inputs!$B$6)*(F112-Inputs!$B$6))/G112)&lt;0,((((Inputs!$C$68*COS(($B112))+Inputs!$B$68*SIN(($B112)))-Inputs!$B$5)*(E112-Inputs!$B$5)+((Inputs!$C$68*SIN(($B112))-Inputs!$B$68*COS(($B112)))-Inputs!$B$6)*(F112-Inputs!$B$6))/G112)&gt;G112-Inputs!$B$40),999,(ABS((E112-Inputs!$B$5)*((Inputs!$C$68*SIN(($B112))-Inputs!$B$68*COS(($B112)))-Inputs!$B$6)-(F112-Inputs!$B$6)*((Inputs!$C$68*COS(($B112))+Inputs!$B$68*SIN(($B112)))-Inputs!$B$5))/G112)-IF(((((Inputs!$C$68*COS(($B112))+Inputs!$B$68*SIN(($B112)))-Inputs!$B$5)*(E112-Inputs!$B$5)+((Inputs!$C$68*SIN(($B112))-Inputs!$B$68*COS(($B112)))-Inputs!$B$6)*(F112-Inputs!$B$6))/G112)&lt;$B$16,$B$7/2,$B$8/2)-Inputs!$B$39),IF(OR(Inputs!$C$69=0,((((Inputs!$C$69*COS(($B112))+Inputs!$B$69*SIN(($B112)))-Inputs!$B$5)*(E112-Inputs!$B$5)+((Inputs!$C$69*SIN(($B112))-Inputs!$B$69*COS(($B112)))-Inputs!$B$6)*(F112-Inputs!$B$6))/G112)&lt;0,((((Inputs!$C$69*COS(($B112))+Inputs!$B$69*SIN(($B112)))-Inputs!$B$5)*(E112-Inputs!$B$5)+((Inputs!$C$69*SIN(($B112))-Inputs!$B$69*COS(($B112)))-Inputs!$B$6)*(F112-Inputs!$B$6))/G112)&gt;G112-Inputs!$B$40),999,(ABS((E112-Inputs!$B$5)*((Inputs!$C$69*SIN(($B112))-Inputs!$B$69*COS(($B112)))-Inputs!$B$6)-(F112-Inputs!$B$6)*((Inputs!$C$69*COS(($B112))+Inputs!$B$69*SIN(($B112)))-Inputs!$B$5))/G112)-IF(((((Inputs!$C$69*COS(($B112))+Inputs!$B$69*SIN(($B112)))-Inputs!$B$5)*(E112-Inputs!$B$5)+((Inputs!$C$69*SIN(($B112))-Inputs!$B$69*COS(($B112)))-Inputs!$B$6)*(F112-Inputs!$B$6))/G112)&lt;$B$16,$B$7/2,$B$8/2)-Inputs!$B$39),IF(OR(Inputs!$C$70=0,((((Inputs!$C$70*COS(($B112))+Inputs!$B$70*SIN(($B112)))-Inputs!$B$5)*(E112-Inputs!$B$5)+((Inputs!$C$70*SIN(($B112))-Inputs!$B$70*COS(($B112)))-Inputs!$B$6)*(F112-Inputs!$B$6))/G112)&lt;0,((((Inputs!$C$70*COS(($B112))+Inputs!$B$70*SIN(($B112)))-Inputs!$B$5)*(E112-Inputs!$B$5)+((Inputs!$C$70*SIN(($B112))-Inputs!$B$70*COS(($B112)))-Inputs!$B$6)*(F112-Inputs!$B$6))/G112)&gt;G112-Inputs!$B$40),999,(ABS((E112-Inputs!$B$5)*((Inputs!$C$70*SIN(($B112))-Inputs!$B$70*COS(($B112)))-Inputs!$B$6)-(F112-Inputs!$B$6)*((Inputs!$C$70*COS(($B112))+Inputs!$B$70*SIN(($B112)))-Inputs!$B$5))/G112)-IF(((((Inputs!$C$70*COS(($B112))+Inputs!$B$70*SIN(($B112)))-Inputs!$B$5)*(E112-Inputs!$B$5)+((Inputs!$C$70*SIN(($B112))-Inputs!$B$70*COS(($B112)))-Inputs!$B$6)*(F112-Inputs!$B$6))/G112)&lt;$B$16,$B$7/2,$B$8/2)-Inputs!$B$39),IF(OR(Inputs!$C$71=0,((((Inputs!$C$71*COS(($B112))+Inputs!$B$71*SIN(($B112)))-Inputs!$B$5)*(E112-Inputs!$B$5)+((Inputs!$C$71*SIN(($B112))-Inputs!$B$71*COS(($B112)))-Inputs!$B$6)*(F112-Inputs!$B$6))/G112)&lt;0,((((Inputs!$C$71*COS(($B112))+Inputs!$B$71*SIN(($B112)))-Inputs!$B$5)*(E112-Inputs!$B$5)+((Inputs!$C$71*SIN(($B112))-Inputs!$B$71*COS(($B112)))-Inputs!$B$6)*(F112-Inputs!$B$6))/G112)&gt;G112-Inputs!$B$40),999,(ABS((E112-Inputs!$B$5)*((Inputs!$C$71*SIN(($B112))-Inputs!$B$71*COS(($B112)))-Inputs!$B$6)-(F112-Inputs!$B$6)*((Inputs!$C$71*COS(($B112))+Inputs!$B$71*SIN(($B112)))-Inputs!$B$5))/G112)-IF(((((Inputs!$C$71*COS(($B112))+Inputs!$B$71*SIN(($B112)))-Inputs!$B$5)*(E112-Inputs!$B$5)+((Inputs!$C$71*SIN(($B112))-Inputs!$B$71*COS(($B112)))-Inputs!$B$6)*(F112-Inputs!$B$6))/G112)&lt;$B$16,$B$7/2,$B$8/2)-Inputs!$B$39),IF(OR(Inputs!$C$72=0,((((Inputs!$C$72*COS(($B112))+Inputs!$B$72*SIN(($B112)))-Inputs!$B$5)*(E112-Inputs!$B$5)+((Inputs!$C$72*SIN(($B112))-Inputs!$B$72*COS(($B112)))-Inputs!$B$6)*(F112-Inputs!$B$6))/G112)&lt;0,((((Inputs!$C$72*COS(($B112))+Inputs!$B$72*SIN(($B112)))-Inputs!$B$5)*(E112-Inputs!$B$5)+((Inputs!$C$72*SIN(($B112))-Inputs!$B$72*COS(($B112)))-Inputs!$B$6)*(F112-Inputs!$B$6))/G112)&gt;G112-Inputs!$B$40),999,(ABS((E112-Inputs!$B$5)*((Inputs!$C$72*SIN(($B112))-Inputs!$B$72*COS(($B112)))-Inputs!$B$6)-(F112-Inputs!$B$6)*((Inputs!$C$72*COS(($B112))+Inputs!$B$72*SIN(($B112)))-Inputs!$B$5))/G112)-IF(((((Inputs!$C$72*COS(($B112))+Inputs!$B$72*SIN(($B112)))-Inputs!$B$5)*(E112-Inputs!$B$5)+((Inputs!$C$72*SIN(($B112))-Inputs!$B$72*COS(($B112)))-Inputs!$B$6)*(F112-Inputs!$B$6))/G112)&lt;$B$16,$B$7/2,$B$8/2)-Inputs!$B$39))</f>
        <v>44.2018897</v>
      </c>
      <c r="J112" s="76">
        <f>IF(AND(G112&gt;=$B$14,G112&lt;=$B$15,H112&lt;=Inputs!$B$38,I112&gt;=0,$D112=1),1,0)</f>
        <v>0</v>
      </c>
      <c r="K112" s="29">
        <f>Inputs!$B$11*COS((-$B112))-Inputs!$B$7*SIN((-$B112))</f>
        <v>32.23512178</v>
      </c>
      <c r="L112" s="29">
        <f>Inputs!$B$11*SIN((-$B112))+Inputs!$B$7*COS((-$B112))</f>
        <v>-219.4289816</v>
      </c>
      <c r="M112" s="29">
        <f>SQRT((K112-Inputs!$B$5)^2+(L112-Inputs!$B$6)^2)</f>
        <v>386.5959343</v>
      </c>
      <c r="N112" s="29">
        <f>MAX(MAX(Inputs!$B$5,(Inputs!$B$5+(K112-Inputs!$B$5)*MIN(1,$B$16/M112)))+$B$7/2,MAX((Inputs!$B$5+(K112-Inputs!$B$5)*MIN(1,$B$16/M112)),K112)+Inputs!$B$41)</f>
        <v>291.8</v>
      </c>
      <c r="O112" s="29">
        <f>MIN(IF(OR(Inputs!$C$68=0,((((Inputs!$C$68*COS((-$B112))+Inputs!$B$68*SIN((-$B112)))-Inputs!$B$5)*(K112-Inputs!$B$5)+((Inputs!$C$68*SIN((-$B112))-Inputs!$B$68*COS((-$B112)))-Inputs!$B$6)*(L112-Inputs!$B$6))/M112)&lt;0,((((Inputs!$C$68*COS((-$B112))+Inputs!$B$68*SIN((-$B112)))-Inputs!$B$5)*(K112-Inputs!$B$5)+((Inputs!$C$68*SIN((-$B112))-Inputs!$B$68*COS((-$B112)))-Inputs!$B$6)*(L112-Inputs!$B$6))/M112)&gt;M112-Inputs!$B$40),999,(ABS((K112-Inputs!$B$5)*((Inputs!$C$68*SIN((-$B112))-Inputs!$B$68*COS((-$B112)))-Inputs!$B$6)-(L112-Inputs!$B$6)*((Inputs!$C$68*COS((-$B112))+Inputs!$B$68*SIN((-$B112)))-Inputs!$B$5))/M112)-IF(((((Inputs!$C$68*COS((-$B112))+Inputs!$B$68*SIN((-$B112)))-Inputs!$B$5)*(K112-Inputs!$B$5)+((Inputs!$C$68*SIN((-$B112))-Inputs!$B$68*COS((-$B112)))-Inputs!$B$6)*(L112-Inputs!$B$6))/M112)&lt;$B$16,$B$7/2,$B$8/2)-Inputs!$B$39),IF(OR(Inputs!$C$69=0,((((Inputs!$C$69*COS((-$B112))+Inputs!$B$69*SIN((-$B112)))-Inputs!$B$5)*(K112-Inputs!$B$5)+((Inputs!$C$69*SIN((-$B112))-Inputs!$B$69*COS((-$B112)))-Inputs!$B$6)*(L112-Inputs!$B$6))/M112)&lt;0,((((Inputs!$C$69*COS((-$B112))+Inputs!$B$69*SIN((-$B112)))-Inputs!$B$5)*(K112-Inputs!$B$5)+((Inputs!$C$69*SIN((-$B112))-Inputs!$B$69*COS((-$B112)))-Inputs!$B$6)*(L112-Inputs!$B$6))/M112)&gt;M112-Inputs!$B$40),999,(ABS((K112-Inputs!$B$5)*((Inputs!$C$69*SIN((-$B112))-Inputs!$B$69*COS((-$B112)))-Inputs!$B$6)-(L112-Inputs!$B$6)*((Inputs!$C$69*COS((-$B112))+Inputs!$B$69*SIN((-$B112)))-Inputs!$B$5))/M112)-IF(((((Inputs!$C$69*COS((-$B112))+Inputs!$B$69*SIN((-$B112)))-Inputs!$B$5)*(K112-Inputs!$B$5)+((Inputs!$C$69*SIN((-$B112))-Inputs!$B$69*COS((-$B112)))-Inputs!$B$6)*(L112-Inputs!$B$6))/M112)&lt;$B$16,$B$7/2,$B$8/2)-Inputs!$B$39),IF(OR(Inputs!$C$70=0,((((Inputs!$C$70*COS((-$B112))+Inputs!$B$70*SIN((-$B112)))-Inputs!$B$5)*(K112-Inputs!$B$5)+((Inputs!$C$70*SIN((-$B112))-Inputs!$B$70*COS((-$B112)))-Inputs!$B$6)*(L112-Inputs!$B$6))/M112)&lt;0,((((Inputs!$C$70*COS((-$B112))+Inputs!$B$70*SIN((-$B112)))-Inputs!$B$5)*(K112-Inputs!$B$5)+((Inputs!$C$70*SIN((-$B112))-Inputs!$B$70*COS((-$B112)))-Inputs!$B$6)*(L112-Inputs!$B$6))/M112)&gt;M112-Inputs!$B$40),999,(ABS((K112-Inputs!$B$5)*((Inputs!$C$70*SIN((-$B112))-Inputs!$B$70*COS((-$B112)))-Inputs!$B$6)-(L112-Inputs!$B$6)*((Inputs!$C$70*COS((-$B112))+Inputs!$B$70*SIN((-$B112)))-Inputs!$B$5))/M112)-IF(((((Inputs!$C$70*COS((-$B112))+Inputs!$B$70*SIN((-$B112)))-Inputs!$B$5)*(K112-Inputs!$B$5)+((Inputs!$C$70*SIN((-$B112))-Inputs!$B$70*COS((-$B112)))-Inputs!$B$6)*(L112-Inputs!$B$6))/M112)&lt;$B$16,$B$7/2,$B$8/2)-Inputs!$B$39),IF(OR(Inputs!$C$71=0,((((Inputs!$C$71*COS((-$B112))+Inputs!$B$71*SIN((-$B112)))-Inputs!$B$5)*(K112-Inputs!$B$5)+((Inputs!$C$71*SIN((-$B112))-Inputs!$B$71*COS((-$B112)))-Inputs!$B$6)*(L112-Inputs!$B$6))/M112)&lt;0,((((Inputs!$C$71*COS((-$B112))+Inputs!$B$71*SIN((-$B112)))-Inputs!$B$5)*(K112-Inputs!$B$5)+((Inputs!$C$71*SIN((-$B112))-Inputs!$B$71*COS((-$B112)))-Inputs!$B$6)*(L112-Inputs!$B$6))/M112)&gt;M112-Inputs!$B$40),999,(ABS((K112-Inputs!$B$5)*((Inputs!$C$71*SIN((-$B112))-Inputs!$B$71*COS((-$B112)))-Inputs!$B$6)-(L112-Inputs!$B$6)*((Inputs!$C$71*COS((-$B112))+Inputs!$B$71*SIN((-$B112)))-Inputs!$B$5))/M112)-IF(((((Inputs!$C$71*COS((-$B112))+Inputs!$B$71*SIN((-$B112)))-Inputs!$B$5)*(K112-Inputs!$B$5)+((Inputs!$C$71*SIN((-$B112))-Inputs!$B$71*COS((-$B112)))-Inputs!$B$6)*(L112-Inputs!$B$6))/M112)&lt;$B$16,$B$7/2,$B$8/2)-Inputs!$B$39),IF(OR(Inputs!$C$72=0,((((Inputs!$C$72*COS((-$B112))+Inputs!$B$72*SIN((-$B112)))-Inputs!$B$5)*(K112-Inputs!$B$5)+((Inputs!$C$72*SIN((-$B112))-Inputs!$B$72*COS((-$B112)))-Inputs!$B$6)*(L112-Inputs!$B$6))/M112)&lt;0,((((Inputs!$C$72*COS((-$B112))+Inputs!$B$72*SIN((-$B112)))-Inputs!$B$5)*(K112-Inputs!$B$5)+((Inputs!$C$72*SIN((-$B112))-Inputs!$B$72*COS((-$B112)))-Inputs!$B$6)*(L112-Inputs!$B$6))/M112)&gt;M112-Inputs!$B$40),999,(ABS((K112-Inputs!$B$5)*((Inputs!$C$72*SIN((-$B112))-Inputs!$B$72*COS((-$B112)))-Inputs!$B$6)-(L112-Inputs!$B$6)*((Inputs!$C$72*COS((-$B112))+Inputs!$B$72*SIN((-$B112)))-Inputs!$B$5))/M112)-IF(((((Inputs!$C$72*COS((-$B112))+Inputs!$B$72*SIN((-$B112)))-Inputs!$B$5)*(K112-Inputs!$B$5)+((Inputs!$C$72*SIN((-$B112))-Inputs!$B$72*COS((-$B112)))-Inputs!$B$6)*(L112-Inputs!$B$6))/M112)&lt;$B$16,$B$7/2,$B$8/2)-Inputs!$B$39))</f>
        <v>2.860211618</v>
      </c>
      <c r="P112" s="76">
        <f>IF(AND(M112&gt;=$B$14,M112&lt;=$B$15,N112&lt;=Inputs!$B$38,O112&gt;=0,$D112=1),1,0)</f>
        <v>0</v>
      </c>
    </row>
    <row r="113" ht="15.75" customHeight="1">
      <c r="A113" s="23">
        <v>17.5</v>
      </c>
      <c r="B113" s="40">
        <f t="shared" si="4"/>
        <v>0.3054326191</v>
      </c>
      <c r="C113" s="29">
        <f>MAX(Inputs!$C$68*COS($B113)+Inputs!$B$68*ABS(SIN($B113)),Inputs!$C$69*COS($B113)+Inputs!$B$69*ABS(SIN($B113)),Inputs!$C$70*COS($B113)+Inputs!$B$70*ABS(SIN($B113)),Inputs!$C$71*COS($B113)+Inputs!$B$71*ABS(SIN($B113)),Inputs!$C$72*COS($B113)+Inputs!$B$72*ABS(SIN($B113)))</f>
        <v>195.2284258</v>
      </c>
      <c r="D113" s="108">
        <f>IF(C113&lt;=Inputs!$B$38,1,0)</f>
        <v>1</v>
      </c>
      <c r="E113" s="29">
        <f>Inputs!$B$11*COS(($B113))-Inputs!$B$7*SIN(($B113))</f>
        <v>151.5596982</v>
      </c>
      <c r="F113" s="29">
        <f>Inputs!$B$11*SIN(($B113))+Inputs!$B$7*COS(($B113))</f>
        <v>-161.9192357</v>
      </c>
      <c r="G113" s="29">
        <f>SQRT((E113-Inputs!$B$5)^2+(F113-Inputs!$B$6)^2)</f>
        <v>279.8073964</v>
      </c>
      <c r="H113" s="29">
        <f>MAX(MAX(Inputs!$B$5,(Inputs!$B$5+(E113-Inputs!$B$5)*MIN(1,$B$16/G113)))+$B$7/2,MAX((Inputs!$B$5+(E113-Inputs!$B$5)*MIN(1,$B$16/G113)),E113)+Inputs!$B$41)</f>
        <v>291.8</v>
      </c>
      <c r="I113" s="29">
        <f>MIN(IF(OR(Inputs!$C$68=0,((((Inputs!$C$68*COS(($B113))+Inputs!$B$68*SIN(($B113)))-Inputs!$B$5)*(E113-Inputs!$B$5)+((Inputs!$C$68*SIN(($B113))-Inputs!$B$68*COS(($B113)))-Inputs!$B$6)*(F113-Inputs!$B$6))/G113)&lt;0,((((Inputs!$C$68*COS(($B113))+Inputs!$B$68*SIN(($B113)))-Inputs!$B$5)*(E113-Inputs!$B$5)+((Inputs!$C$68*SIN(($B113))-Inputs!$B$68*COS(($B113)))-Inputs!$B$6)*(F113-Inputs!$B$6))/G113)&gt;G113-Inputs!$B$40),999,(ABS((E113-Inputs!$B$5)*((Inputs!$C$68*SIN(($B113))-Inputs!$B$68*COS(($B113)))-Inputs!$B$6)-(F113-Inputs!$B$6)*((Inputs!$C$68*COS(($B113))+Inputs!$B$68*SIN(($B113)))-Inputs!$B$5))/G113)-IF(((((Inputs!$C$68*COS(($B113))+Inputs!$B$68*SIN(($B113)))-Inputs!$B$5)*(E113-Inputs!$B$5)+((Inputs!$C$68*SIN(($B113))-Inputs!$B$68*COS(($B113)))-Inputs!$B$6)*(F113-Inputs!$B$6))/G113)&lt;$B$16,$B$7/2,$B$8/2)-Inputs!$B$39),IF(OR(Inputs!$C$69=0,((((Inputs!$C$69*COS(($B113))+Inputs!$B$69*SIN(($B113)))-Inputs!$B$5)*(E113-Inputs!$B$5)+((Inputs!$C$69*SIN(($B113))-Inputs!$B$69*COS(($B113)))-Inputs!$B$6)*(F113-Inputs!$B$6))/G113)&lt;0,((((Inputs!$C$69*COS(($B113))+Inputs!$B$69*SIN(($B113)))-Inputs!$B$5)*(E113-Inputs!$B$5)+((Inputs!$C$69*SIN(($B113))-Inputs!$B$69*COS(($B113)))-Inputs!$B$6)*(F113-Inputs!$B$6))/G113)&gt;G113-Inputs!$B$40),999,(ABS((E113-Inputs!$B$5)*((Inputs!$C$69*SIN(($B113))-Inputs!$B$69*COS(($B113)))-Inputs!$B$6)-(F113-Inputs!$B$6)*((Inputs!$C$69*COS(($B113))+Inputs!$B$69*SIN(($B113)))-Inputs!$B$5))/G113)-IF(((((Inputs!$C$69*COS(($B113))+Inputs!$B$69*SIN(($B113)))-Inputs!$B$5)*(E113-Inputs!$B$5)+((Inputs!$C$69*SIN(($B113))-Inputs!$B$69*COS(($B113)))-Inputs!$B$6)*(F113-Inputs!$B$6))/G113)&lt;$B$16,$B$7/2,$B$8/2)-Inputs!$B$39),IF(OR(Inputs!$C$70=0,((((Inputs!$C$70*COS(($B113))+Inputs!$B$70*SIN(($B113)))-Inputs!$B$5)*(E113-Inputs!$B$5)+((Inputs!$C$70*SIN(($B113))-Inputs!$B$70*COS(($B113)))-Inputs!$B$6)*(F113-Inputs!$B$6))/G113)&lt;0,((((Inputs!$C$70*COS(($B113))+Inputs!$B$70*SIN(($B113)))-Inputs!$B$5)*(E113-Inputs!$B$5)+((Inputs!$C$70*SIN(($B113))-Inputs!$B$70*COS(($B113)))-Inputs!$B$6)*(F113-Inputs!$B$6))/G113)&gt;G113-Inputs!$B$40),999,(ABS((E113-Inputs!$B$5)*((Inputs!$C$70*SIN(($B113))-Inputs!$B$70*COS(($B113)))-Inputs!$B$6)-(F113-Inputs!$B$6)*((Inputs!$C$70*COS(($B113))+Inputs!$B$70*SIN(($B113)))-Inputs!$B$5))/G113)-IF(((((Inputs!$C$70*COS(($B113))+Inputs!$B$70*SIN(($B113)))-Inputs!$B$5)*(E113-Inputs!$B$5)+((Inputs!$C$70*SIN(($B113))-Inputs!$B$70*COS(($B113)))-Inputs!$B$6)*(F113-Inputs!$B$6))/G113)&lt;$B$16,$B$7/2,$B$8/2)-Inputs!$B$39),IF(OR(Inputs!$C$71=0,((((Inputs!$C$71*COS(($B113))+Inputs!$B$71*SIN(($B113)))-Inputs!$B$5)*(E113-Inputs!$B$5)+((Inputs!$C$71*SIN(($B113))-Inputs!$B$71*COS(($B113)))-Inputs!$B$6)*(F113-Inputs!$B$6))/G113)&lt;0,((((Inputs!$C$71*COS(($B113))+Inputs!$B$71*SIN(($B113)))-Inputs!$B$5)*(E113-Inputs!$B$5)+((Inputs!$C$71*SIN(($B113))-Inputs!$B$71*COS(($B113)))-Inputs!$B$6)*(F113-Inputs!$B$6))/G113)&gt;G113-Inputs!$B$40),999,(ABS((E113-Inputs!$B$5)*((Inputs!$C$71*SIN(($B113))-Inputs!$B$71*COS(($B113)))-Inputs!$B$6)-(F113-Inputs!$B$6)*((Inputs!$C$71*COS(($B113))+Inputs!$B$71*SIN(($B113)))-Inputs!$B$5))/G113)-IF(((((Inputs!$C$71*COS(($B113))+Inputs!$B$71*SIN(($B113)))-Inputs!$B$5)*(E113-Inputs!$B$5)+((Inputs!$C$71*SIN(($B113))-Inputs!$B$71*COS(($B113)))-Inputs!$B$6)*(F113-Inputs!$B$6))/G113)&lt;$B$16,$B$7/2,$B$8/2)-Inputs!$B$39),IF(OR(Inputs!$C$72=0,((((Inputs!$C$72*COS(($B113))+Inputs!$B$72*SIN(($B113)))-Inputs!$B$5)*(E113-Inputs!$B$5)+((Inputs!$C$72*SIN(($B113))-Inputs!$B$72*COS(($B113)))-Inputs!$B$6)*(F113-Inputs!$B$6))/G113)&lt;0,((((Inputs!$C$72*COS(($B113))+Inputs!$B$72*SIN(($B113)))-Inputs!$B$5)*(E113-Inputs!$B$5)+((Inputs!$C$72*SIN(($B113))-Inputs!$B$72*COS(($B113)))-Inputs!$B$6)*(F113-Inputs!$B$6))/G113)&gt;G113-Inputs!$B$40),999,(ABS((E113-Inputs!$B$5)*((Inputs!$C$72*SIN(($B113))-Inputs!$B$72*COS(($B113)))-Inputs!$B$6)-(F113-Inputs!$B$6)*((Inputs!$C$72*COS(($B113))+Inputs!$B$72*SIN(($B113)))-Inputs!$B$5))/G113)-IF(((((Inputs!$C$72*COS(($B113))+Inputs!$B$72*SIN(($B113)))-Inputs!$B$5)*(E113-Inputs!$B$5)+((Inputs!$C$72*SIN(($B113))-Inputs!$B$72*COS(($B113)))-Inputs!$B$6)*(F113-Inputs!$B$6))/G113)&lt;$B$16,$B$7/2,$B$8/2)-Inputs!$B$39))</f>
        <v>44.38191147</v>
      </c>
      <c r="J113" s="76">
        <f>IF(AND(G113&gt;=$B$14,G113&lt;=$B$15,H113&lt;=Inputs!$B$38,I113&gt;=0,$D113=1),1,0)</f>
        <v>0</v>
      </c>
      <c r="K113" s="29">
        <f>Inputs!$B$11*COS((-$B113))-Inputs!$B$7*SIN((-$B113))</f>
        <v>31.27737841</v>
      </c>
      <c r="L113" s="29">
        <f>Inputs!$B$11*SIN((-$B113))+Inputs!$B$7*COS((-$B113))</f>
        <v>-219.5675446</v>
      </c>
      <c r="M113" s="29">
        <f>SQRT((K113-Inputs!$B$5)^2+(L113-Inputs!$B$6)^2)</f>
        <v>387.2505658</v>
      </c>
      <c r="N113" s="29">
        <f>MAX(MAX(Inputs!$B$5,(Inputs!$B$5+(K113-Inputs!$B$5)*MIN(1,$B$16/M113)))+$B$7/2,MAX((Inputs!$B$5+(K113-Inputs!$B$5)*MIN(1,$B$16/M113)),K113)+Inputs!$B$41)</f>
        <v>291.8</v>
      </c>
      <c r="O113" s="29">
        <f>MIN(IF(OR(Inputs!$C$68=0,((((Inputs!$C$68*COS((-$B113))+Inputs!$B$68*SIN((-$B113)))-Inputs!$B$5)*(K113-Inputs!$B$5)+((Inputs!$C$68*SIN((-$B113))-Inputs!$B$68*COS((-$B113)))-Inputs!$B$6)*(L113-Inputs!$B$6))/M113)&lt;0,((((Inputs!$C$68*COS((-$B113))+Inputs!$B$68*SIN((-$B113)))-Inputs!$B$5)*(K113-Inputs!$B$5)+((Inputs!$C$68*SIN((-$B113))-Inputs!$B$68*COS((-$B113)))-Inputs!$B$6)*(L113-Inputs!$B$6))/M113)&gt;M113-Inputs!$B$40),999,(ABS((K113-Inputs!$B$5)*((Inputs!$C$68*SIN((-$B113))-Inputs!$B$68*COS((-$B113)))-Inputs!$B$6)-(L113-Inputs!$B$6)*((Inputs!$C$68*COS((-$B113))+Inputs!$B$68*SIN((-$B113)))-Inputs!$B$5))/M113)-IF(((((Inputs!$C$68*COS((-$B113))+Inputs!$B$68*SIN((-$B113)))-Inputs!$B$5)*(K113-Inputs!$B$5)+((Inputs!$C$68*SIN((-$B113))-Inputs!$B$68*COS((-$B113)))-Inputs!$B$6)*(L113-Inputs!$B$6))/M113)&lt;$B$16,$B$7/2,$B$8/2)-Inputs!$B$39),IF(OR(Inputs!$C$69=0,((((Inputs!$C$69*COS((-$B113))+Inputs!$B$69*SIN((-$B113)))-Inputs!$B$5)*(K113-Inputs!$B$5)+((Inputs!$C$69*SIN((-$B113))-Inputs!$B$69*COS((-$B113)))-Inputs!$B$6)*(L113-Inputs!$B$6))/M113)&lt;0,((((Inputs!$C$69*COS((-$B113))+Inputs!$B$69*SIN((-$B113)))-Inputs!$B$5)*(K113-Inputs!$B$5)+((Inputs!$C$69*SIN((-$B113))-Inputs!$B$69*COS((-$B113)))-Inputs!$B$6)*(L113-Inputs!$B$6))/M113)&gt;M113-Inputs!$B$40),999,(ABS((K113-Inputs!$B$5)*((Inputs!$C$69*SIN((-$B113))-Inputs!$B$69*COS((-$B113)))-Inputs!$B$6)-(L113-Inputs!$B$6)*((Inputs!$C$69*COS((-$B113))+Inputs!$B$69*SIN((-$B113)))-Inputs!$B$5))/M113)-IF(((((Inputs!$C$69*COS((-$B113))+Inputs!$B$69*SIN((-$B113)))-Inputs!$B$5)*(K113-Inputs!$B$5)+((Inputs!$C$69*SIN((-$B113))-Inputs!$B$69*COS((-$B113)))-Inputs!$B$6)*(L113-Inputs!$B$6))/M113)&lt;$B$16,$B$7/2,$B$8/2)-Inputs!$B$39),IF(OR(Inputs!$C$70=0,((((Inputs!$C$70*COS((-$B113))+Inputs!$B$70*SIN((-$B113)))-Inputs!$B$5)*(K113-Inputs!$B$5)+((Inputs!$C$70*SIN((-$B113))-Inputs!$B$70*COS((-$B113)))-Inputs!$B$6)*(L113-Inputs!$B$6))/M113)&lt;0,((((Inputs!$C$70*COS((-$B113))+Inputs!$B$70*SIN((-$B113)))-Inputs!$B$5)*(K113-Inputs!$B$5)+((Inputs!$C$70*SIN((-$B113))-Inputs!$B$70*COS((-$B113)))-Inputs!$B$6)*(L113-Inputs!$B$6))/M113)&gt;M113-Inputs!$B$40),999,(ABS((K113-Inputs!$B$5)*((Inputs!$C$70*SIN((-$B113))-Inputs!$B$70*COS((-$B113)))-Inputs!$B$6)-(L113-Inputs!$B$6)*((Inputs!$C$70*COS((-$B113))+Inputs!$B$70*SIN((-$B113)))-Inputs!$B$5))/M113)-IF(((((Inputs!$C$70*COS((-$B113))+Inputs!$B$70*SIN((-$B113)))-Inputs!$B$5)*(K113-Inputs!$B$5)+((Inputs!$C$70*SIN((-$B113))-Inputs!$B$70*COS((-$B113)))-Inputs!$B$6)*(L113-Inputs!$B$6))/M113)&lt;$B$16,$B$7/2,$B$8/2)-Inputs!$B$39),IF(OR(Inputs!$C$71=0,((((Inputs!$C$71*COS((-$B113))+Inputs!$B$71*SIN((-$B113)))-Inputs!$B$5)*(K113-Inputs!$B$5)+((Inputs!$C$71*SIN((-$B113))-Inputs!$B$71*COS((-$B113)))-Inputs!$B$6)*(L113-Inputs!$B$6))/M113)&lt;0,((((Inputs!$C$71*COS((-$B113))+Inputs!$B$71*SIN((-$B113)))-Inputs!$B$5)*(K113-Inputs!$B$5)+((Inputs!$C$71*SIN((-$B113))-Inputs!$B$71*COS((-$B113)))-Inputs!$B$6)*(L113-Inputs!$B$6))/M113)&gt;M113-Inputs!$B$40),999,(ABS((K113-Inputs!$B$5)*((Inputs!$C$71*SIN((-$B113))-Inputs!$B$71*COS((-$B113)))-Inputs!$B$6)-(L113-Inputs!$B$6)*((Inputs!$C$71*COS((-$B113))+Inputs!$B$71*SIN((-$B113)))-Inputs!$B$5))/M113)-IF(((((Inputs!$C$71*COS((-$B113))+Inputs!$B$71*SIN((-$B113)))-Inputs!$B$5)*(K113-Inputs!$B$5)+((Inputs!$C$71*SIN((-$B113))-Inputs!$B$71*COS((-$B113)))-Inputs!$B$6)*(L113-Inputs!$B$6))/M113)&lt;$B$16,$B$7/2,$B$8/2)-Inputs!$B$39),IF(OR(Inputs!$C$72=0,((((Inputs!$C$72*COS((-$B113))+Inputs!$B$72*SIN((-$B113)))-Inputs!$B$5)*(K113-Inputs!$B$5)+((Inputs!$C$72*SIN((-$B113))-Inputs!$B$72*COS((-$B113)))-Inputs!$B$6)*(L113-Inputs!$B$6))/M113)&lt;0,((((Inputs!$C$72*COS((-$B113))+Inputs!$B$72*SIN((-$B113)))-Inputs!$B$5)*(K113-Inputs!$B$5)+((Inputs!$C$72*SIN((-$B113))-Inputs!$B$72*COS((-$B113)))-Inputs!$B$6)*(L113-Inputs!$B$6))/M113)&gt;M113-Inputs!$B$40),999,(ABS((K113-Inputs!$B$5)*((Inputs!$C$72*SIN((-$B113))-Inputs!$B$72*COS((-$B113)))-Inputs!$B$6)-(L113-Inputs!$B$6)*((Inputs!$C$72*COS((-$B113))+Inputs!$B$72*SIN((-$B113)))-Inputs!$B$5))/M113)-IF(((((Inputs!$C$72*COS((-$B113))+Inputs!$B$72*SIN((-$B113)))-Inputs!$B$5)*(K113-Inputs!$B$5)+((Inputs!$C$72*SIN((-$B113))-Inputs!$B$72*COS((-$B113)))-Inputs!$B$6)*(L113-Inputs!$B$6))/M113)&lt;$B$16,$B$7/2,$B$8/2)-Inputs!$B$39))</f>
        <v>2.527689224</v>
      </c>
      <c r="P113" s="76">
        <f>IF(AND(M113&gt;=$B$14,M113&lt;=$B$15,N113&lt;=Inputs!$B$38,O113&gt;=0,$D113=1),1,0)</f>
        <v>0</v>
      </c>
    </row>
    <row r="114" ht="15.75" customHeight="1">
      <c r="A114" s="23">
        <v>17.75</v>
      </c>
      <c r="B114" s="40">
        <f t="shared" si="4"/>
        <v>0.3097959422</v>
      </c>
      <c r="C114" s="29">
        <f>MAX(Inputs!$C$68*COS($B114)+Inputs!$B$68*ABS(SIN($B114)),Inputs!$C$69*COS($B114)+Inputs!$B$69*ABS(SIN($B114)),Inputs!$C$70*COS($B114)+Inputs!$B$70*ABS(SIN($B114)),Inputs!$C$71*COS($B114)+Inputs!$B$71*ABS(SIN($B114)),Inputs!$C$72*COS($B114)+Inputs!$B$72*ABS(SIN($B114)))</f>
        <v>196.7819572</v>
      </c>
      <c r="D114" s="108">
        <f>IF(C114&lt;=Inputs!$B$38,1,0)</f>
        <v>1</v>
      </c>
      <c r="E114" s="29">
        <f>Inputs!$B$11*COS(($B114))-Inputs!$B$7*SIN(($B114))</f>
        <v>152.2647592</v>
      </c>
      <c r="F114" s="29">
        <f>Inputs!$B$11*SIN(($B114))+Inputs!$B$7*COS(($B114))</f>
        <v>-161.2563925</v>
      </c>
      <c r="G114" s="29">
        <f>SQRT((E114-Inputs!$B$5)^2+(F114-Inputs!$B$6)^2)</f>
        <v>278.9392047</v>
      </c>
      <c r="H114" s="29">
        <f>MAX(MAX(Inputs!$B$5,(Inputs!$B$5+(E114-Inputs!$B$5)*MIN(1,$B$16/G114)))+$B$7/2,MAX((Inputs!$B$5+(E114-Inputs!$B$5)*MIN(1,$B$16/G114)),E114)+Inputs!$B$41)</f>
        <v>291.8</v>
      </c>
      <c r="I114" s="29">
        <f>MIN(IF(OR(Inputs!$C$68=0,((((Inputs!$C$68*COS(($B114))+Inputs!$B$68*SIN(($B114)))-Inputs!$B$5)*(E114-Inputs!$B$5)+((Inputs!$C$68*SIN(($B114))-Inputs!$B$68*COS(($B114)))-Inputs!$B$6)*(F114-Inputs!$B$6))/G114)&lt;0,((((Inputs!$C$68*COS(($B114))+Inputs!$B$68*SIN(($B114)))-Inputs!$B$5)*(E114-Inputs!$B$5)+((Inputs!$C$68*SIN(($B114))-Inputs!$B$68*COS(($B114)))-Inputs!$B$6)*(F114-Inputs!$B$6))/G114)&gt;G114-Inputs!$B$40),999,(ABS((E114-Inputs!$B$5)*((Inputs!$C$68*SIN(($B114))-Inputs!$B$68*COS(($B114)))-Inputs!$B$6)-(F114-Inputs!$B$6)*((Inputs!$C$68*COS(($B114))+Inputs!$B$68*SIN(($B114)))-Inputs!$B$5))/G114)-IF(((((Inputs!$C$68*COS(($B114))+Inputs!$B$68*SIN(($B114)))-Inputs!$B$5)*(E114-Inputs!$B$5)+((Inputs!$C$68*SIN(($B114))-Inputs!$B$68*COS(($B114)))-Inputs!$B$6)*(F114-Inputs!$B$6))/G114)&lt;$B$16,$B$7/2,$B$8/2)-Inputs!$B$39),IF(OR(Inputs!$C$69=0,((((Inputs!$C$69*COS(($B114))+Inputs!$B$69*SIN(($B114)))-Inputs!$B$5)*(E114-Inputs!$B$5)+((Inputs!$C$69*SIN(($B114))-Inputs!$B$69*COS(($B114)))-Inputs!$B$6)*(F114-Inputs!$B$6))/G114)&lt;0,((((Inputs!$C$69*COS(($B114))+Inputs!$B$69*SIN(($B114)))-Inputs!$B$5)*(E114-Inputs!$B$5)+((Inputs!$C$69*SIN(($B114))-Inputs!$B$69*COS(($B114)))-Inputs!$B$6)*(F114-Inputs!$B$6))/G114)&gt;G114-Inputs!$B$40),999,(ABS((E114-Inputs!$B$5)*((Inputs!$C$69*SIN(($B114))-Inputs!$B$69*COS(($B114)))-Inputs!$B$6)-(F114-Inputs!$B$6)*((Inputs!$C$69*COS(($B114))+Inputs!$B$69*SIN(($B114)))-Inputs!$B$5))/G114)-IF(((((Inputs!$C$69*COS(($B114))+Inputs!$B$69*SIN(($B114)))-Inputs!$B$5)*(E114-Inputs!$B$5)+((Inputs!$C$69*SIN(($B114))-Inputs!$B$69*COS(($B114)))-Inputs!$B$6)*(F114-Inputs!$B$6))/G114)&lt;$B$16,$B$7/2,$B$8/2)-Inputs!$B$39),IF(OR(Inputs!$C$70=0,((((Inputs!$C$70*COS(($B114))+Inputs!$B$70*SIN(($B114)))-Inputs!$B$5)*(E114-Inputs!$B$5)+((Inputs!$C$70*SIN(($B114))-Inputs!$B$70*COS(($B114)))-Inputs!$B$6)*(F114-Inputs!$B$6))/G114)&lt;0,((((Inputs!$C$70*COS(($B114))+Inputs!$B$70*SIN(($B114)))-Inputs!$B$5)*(E114-Inputs!$B$5)+((Inputs!$C$70*SIN(($B114))-Inputs!$B$70*COS(($B114)))-Inputs!$B$6)*(F114-Inputs!$B$6))/G114)&gt;G114-Inputs!$B$40),999,(ABS((E114-Inputs!$B$5)*((Inputs!$C$70*SIN(($B114))-Inputs!$B$70*COS(($B114)))-Inputs!$B$6)-(F114-Inputs!$B$6)*((Inputs!$C$70*COS(($B114))+Inputs!$B$70*SIN(($B114)))-Inputs!$B$5))/G114)-IF(((((Inputs!$C$70*COS(($B114))+Inputs!$B$70*SIN(($B114)))-Inputs!$B$5)*(E114-Inputs!$B$5)+((Inputs!$C$70*SIN(($B114))-Inputs!$B$70*COS(($B114)))-Inputs!$B$6)*(F114-Inputs!$B$6))/G114)&lt;$B$16,$B$7/2,$B$8/2)-Inputs!$B$39),IF(OR(Inputs!$C$71=0,((((Inputs!$C$71*COS(($B114))+Inputs!$B$71*SIN(($B114)))-Inputs!$B$5)*(E114-Inputs!$B$5)+((Inputs!$C$71*SIN(($B114))-Inputs!$B$71*COS(($B114)))-Inputs!$B$6)*(F114-Inputs!$B$6))/G114)&lt;0,((((Inputs!$C$71*COS(($B114))+Inputs!$B$71*SIN(($B114)))-Inputs!$B$5)*(E114-Inputs!$B$5)+((Inputs!$C$71*SIN(($B114))-Inputs!$B$71*COS(($B114)))-Inputs!$B$6)*(F114-Inputs!$B$6))/G114)&gt;G114-Inputs!$B$40),999,(ABS((E114-Inputs!$B$5)*((Inputs!$C$71*SIN(($B114))-Inputs!$B$71*COS(($B114)))-Inputs!$B$6)-(F114-Inputs!$B$6)*((Inputs!$C$71*COS(($B114))+Inputs!$B$71*SIN(($B114)))-Inputs!$B$5))/G114)-IF(((((Inputs!$C$71*COS(($B114))+Inputs!$B$71*SIN(($B114)))-Inputs!$B$5)*(E114-Inputs!$B$5)+((Inputs!$C$71*SIN(($B114))-Inputs!$B$71*COS(($B114)))-Inputs!$B$6)*(F114-Inputs!$B$6))/G114)&lt;$B$16,$B$7/2,$B$8/2)-Inputs!$B$39),IF(OR(Inputs!$C$72=0,((((Inputs!$C$72*COS(($B114))+Inputs!$B$72*SIN(($B114)))-Inputs!$B$5)*(E114-Inputs!$B$5)+((Inputs!$C$72*SIN(($B114))-Inputs!$B$72*COS(($B114)))-Inputs!$B$6)*(F114-Inputs!$B$6))/G114)&lt;0,((((Inputs!$C$72*COS(($B114))+Inputs!$B$72*SIN(($B114)))-Inputs!$B$5)*(E114-Inputs!$B$5)+((Inputs!$C$72*SIN(($B114))-Inputs!$B$72*COS(($B114)))-Inputs!$B$6)*(F114-Inputs!$B$6))/G114)&gt;G114-Inputs!$B$40),999,(ABS((E114-Inputs!$B$5)*((Inputs!$C$72*SIN(($B114))-Inputs!$B$72*COS(($B114)))-Inputs!$B$6)-(F114-Inputs!$B$6)*((Inputs!$C$72*COS(($B114))+Inputs!$B$72*SIN(($B114)))-Inputs!$B$5))/G114)-IF(((((Inputs!$C$72*COS(($B114))+Inputs!$B$72*SIN(($B114)))-Inputs!$B$5)*(E114-Inputs!$B$5)+((Inputs!$C$72*SIN(($B114))-Inputs!$B$72*COS(($B114)))-Inputs!$B$6)*(F114-Inputs!$B$6))/G114)&lt;$B$16,$B$7/2,$B$8/2)-Inputs!$B$39))</f>
        <v>44.56147418</v>
      </c>
      <c r="J114" s="76">
        <f>IF(AND(G114&gt;=$B$14,G114&lt;=$B$15,H114&lt;=Inputs!$B$38,I114&gt;=0,$D114=1),1,0)</f>
        <v>0</v>
      </c>
      <c r="K114" s="29">
        <f>Inputs!$B$11*COS((-$B114))-Inputs!$B$7*SIN((-$B114))</f>
        <v>30.31903957</v>
      </c>
      <c r="L114" s="29">
        <f>Inputs!$B$11*SIN((-$B114))+Inputs!$B$7*COS((-$B114))</f>
        <v>-219.7019273</v>
      </c>
      <c r="M114" s="29">
        <f>SQRT((K114-Inputs!$B$5)^2+(L114-Inputs!$B$6)^2)</f>
        <v>387.9033987</v>
      </c>
      <c r="N114" s="29">
        <f>MAX(MAX(Inputs!$B$5,(Inputs!$B$5+(K114-Inputs!$B$5)*MIN(1,$B$16/M114)))+$B$7/2,MAX((Inputs!$B$5+(K114-Inputs!$B$5)*MIN(1,$B$16/M114)),K114)+Inputs!$B$41)</f>
        <v>291.8</v>
      </c>
      <c r="O114" s="29">
        <f>MIN(IF(OR(Inputs!$C$68=0,((((Inputs!$C$68*COS((-$B114))+Inputs!$B$68*SIN((-$B114)))-Inputs!$B$5)*(K114-Inputs!$B$5)+((Inputs!$C$68*SIN((-$B114))-Inputs!$B$68*COS((-$B114)))-Inputs!$B$6)*(L114-Inputs!$B$6))/M114)&lt;0,((((Inputs!$C$68*COS((-$B114))+Inputs!$B$68*SIN((-$B114)))-Inputs!$B$5)*(K114-Inputs!$B$5)+((Inputs!$C$68*SIN((-$B114))-Inputs!$B$68*COS((-$B114)))-Inputs!$B$6)*(L114-Inputs!$B$6))/M114)&gt;M114-Inputs!$B$40),999,(ABS((K114-Inputs!$B$5)*((Inputs!$C$68*SIN((-$B114))-Inputs!$B$68*COS((-$B114)))-Inputs!$B$6)-(L114-Inputs!$B$6)*((Inputs!$C$68*COS((-$B114))+Inputs!$B$68*SIN((-$B114)))-Inputs!$B$5))/M114)-IF(((((Inputs!$C$68*COS((-$B114))+Inputs!$B$68*SIN((-$B114)))-Inputs!$B$5)*(K114-Inputs!$B$5)+((Inputs!$C$68*SIN((-$B114))-Inputs!$B$68*COS((-$B114)))-Inputs!$B$6)*(L114-Inputs!$B$6))/M114)&lt;$B$16,$B$7/2,$B$8/2)-Inputs!$B$39),IF(OR(Inputs!$C$69=0,((((Inputs!$C$69*COS((-$B114))+Inputs!$B$69*SIN((-$B114)))-Inputs!$B$5)*(K114-Inputs!$B$5)+((Inputs!$C$69*SIN((-$B114))-Inputs!$B$69*COS((-$B114)))-Inputs!$B$6)*(L114-Inputs!$B$6))/M114)&lt;0,((((Inputs!$C$69*COS((-$B114))+Inputs!$B$69*SIN((-$B114)))-Inputs!$B$5)*(K114-Inputs!$B$5)+((Inputs!$C$69*SIN((-$B114))-Inputs!$B$69*COS((-$B114)))-Inputs!$B$6)*(L114-Inputs!$B$6))/M114)&gt;M114-Inputs!$B$40),999,(ABS((K114-Inputs!$B$5)*((Inputs!$C$69*SIN((-$B114))-Inputs!$B$69*COS((-$B114)))-Inputs!$B$6)-(L114-Inputs!$B$6)*((Inputs!$C$69*COS((-$B114))+Inputs!$B$69*SIN((-$B114)))-Inputs!$B$5))/M114)-IF(((((Inputs!$C$69*COS((-$B114))+Inputs!$B$69*SIN((-$B114)))-Inputs!$B$5)*(K114-Inputs!$B$5)+((Inputs!$C$69*SIN((-$B114))-Inputs!$B$69*COS((-$B114)))-Inputs!$B$6)*(L114-Inputs!$B$6))/M114)&lt;$B$16,$B$7/2,$B$8/2)-Inputs!$B$39),IF(OR(Inputs!$C$70=0,((((Inputs!$C$70*COS((-$B114))+Inputs!$B$70*SIN((-$B114)))-Inputs!$B$5)*(K114-Inputs!$B$5)+((Inputs!$C$70*SIN((-$B114))-Inputs!$B$70*COS((-$B114)))-Inputs!$B$6)*(L114-Inputs!$B$6))/M114)&lt;0,((((Inputs!$C$70*COS((-$B114))+Inputs!$B$70*SIN((-$B114)))-Inputs!$B$5)*(K114-Inputs!$B$5)+((Inputs!$C$70*SIN((-$B114))-Inputs!$B$70*COS((-$B114)))-Inputs!$B$6)*(L114-Inputs!$B$6))/M114)&gt;M114-Inputs!$B$40),999,(ABS((K114-Inputs!$B$5)*((Inputs!$C$70*SIN((-$B114))-Inputs!$B$70*COS((-$B114)))-Inputs!$B$6)-(L114-Inputs!$B$6)*((Inputs!$C$70*COS((-$B114))+Inputs!$B$70*SIN((-$B114)))-Inputs!$B$5))/M114)-IF(((((Inputs!$C$70*COS((-$B114))+Inputs!$B$70*SIN((-$B114)))-Inputs!$B$5)*(K114-Inputs!$B$5)+((Inputs!$C$70*SIN((-$B114))-Inputs!$B$70*COS((-$B114)))-Inputs!$B$6)*(L114-Inputs!$B$6))/M114)&lt;$B$16,$B$7/2,$B$8/2)-Inputs!$B$39),IF(OR(Inputs!$C$71=0,((((Inputs!$C$71*COS((-$B114))+Inputs!$B$71*SIN((-$B114)))-Inputs!$B$5)*(K114-Inputs!$B$5)+((Inputs!$C$71*SIN((-$B114))-Inputs!$B$71*COS((-$B114)))-Inputs!$B$6)*(L114-Inputs!$B$6))/M114)&lt;0,((((Inputs!$C$71*COS((-$B114))+Inputs!$B$71*SIN((-$B114)))-Inputs!$B$5)*(K114-Inputs!$B$5)+((Inputs!$C$71*SIN((-$B114))-Inputs!$B$71*COS((-$B114)))-Inputs!$B$6)*(L114-Inputs!$B$6))/M114)&gt;M114-Inputs!$B$40),999,(ABS((K114-Inputs!$B$5)*((Inputs!$C$71*SIN((-$B114))-Inputs!$B$71*COS((-$B114)))-Inputs!$B$6)-(L114-Inputs!$B$6)*((Inputs!$C$71*COS((-$B114))+Inputs!$B$71*SIN((-$B114)))-Inputs!$B$5))/M114)-IF(((((Inputs!$C$71*COS((-$B114))+Inputs!$B$71*SIN((-$B114)))-Inputs!$B$5)*(K114-Inputs!$B$5)+((Inputs!$C$71*SIN((-$B114))-Inputs!$B$71*COS((-$B114)))-Inputs!$B$6)*(L114-Inputs!$B$6))/M114)&lt;$B$16,$B$7/2,$B$8/2)-Inputs!$B$39),IF(OR(Inputs!$C$72=0,((((Inputs!$C$72*COS((-$B114))+Inputs!$B$72*SIN((-$B114)))-Inputs!$B$5)*(K114-Inputs!$B$5)+((Inputs!$C$72*SIN((-$B114))-Inputs!$B$72*COS((-$B114)))-Inputs!$B$6)*(L114-Inputs!$B$6))/M114)&lt;0,((((Inputs!$C$72*COS((-$B114))+Inputs!$B$72*SIN((-$B114)))-Inputs!$B$5)*(K114-Inputs!$B$5)+((Inputs!$C$72*SIN((-$B114))-Inputs!$B$72*COS((-$B114)))-Inputs!$B$6)*(L114-Inputs!$B$6))/M114)&gt;M114-Inputs!$B$40),999,(ABS((K114-Inputs!$B$5)*((Inputs!$C$72*SIN((-$B114))-Inputs!$B$72*COS((-$B114)))-Inputs!$B$6)-(L114-Inputs!$B$6)*((Inputs!$C$72*COS((-$B114))+Inputs!$B$72*SIN((-$B114)))-Inputs!$B$5))/M114)-IF(((((Inputs!$C$72*COS((-$B114))+Inputs!$B$72*SIN((-$B114)))-Inputs!$B$5)*(K114-Inputs!$B$5)+((Inputs!$C$72*SIN((-$B114))-Inputs!$B$72*COS((-$B114)))-Inputs!$B$6)*(L114-Inputs!$B$6))/M114)&lt;$B$16,$B$7/2,$B$8/2)-Inputs!$B$39))</f>
        <v>2.195017167</v>
      </c>
      <c r="P114" s="76">
        <f>IF(AND(M114&gt;=$B$14,M114&lt;=$B$15,N114&lt;=Inputs!$B$38,O114&gt;=0,$D114=1),1,0)</f>
        <v>0</v>
      </c>
    </row>
    <row r="115" ht="15.75" customHeight="1">
      <c r="A115" s="23">
        <v>18.0</v>
      </c>
      <c r="B115" s="40">
        <f t="shared" si="4"/>
        <v>0.3141592654</v>
      </c>
      <c r="C115" s="29">
        <f>MAX(Inputs!$C$68*COS($B115)+Inputs!$B$68*ABS(SIN($B115)),Inputs!$C$69*COS($B115)+Inputs!$B$69*ABS(SIN($B115)),Inputs!$C$70*COS($B115)+Inputs!$B$70*ABS(SIN($B115)),Inputs!$C$71*COS($B115)+Inputs!$B$71*ABS(SIN($B115)),Inputs!$C$72*COS($B115)+Inputs!$B$72*ABS(SIN($B115)))</f>
        <v>198.3317421</v>
      </c>
      <c r="D115" s="108">
        <f>IF(C115&lt;=Inputs!$B$38,1,0)</f>
        <v>1</v>
      </c>
      <c r="E115" s="29">
        <f>Inputs!$B$11*COS(($B115))-Inputs!$B$7*SIN(($B115))</f>
        <v>152.9669212</v>
      </c>
      <c r="F115" s="29">
        <f>Inputs!$B$11*SIN(($B115))+Inputs!$B$7*COS(($B115))</f>
        <v>-160.5904793</v>
      </c>
      <c r="G115" s="29">
        <f>SQRT((E115-Inputs!$B$5)^2+(F115-Inputs!$B$6)^2)</f>
        <v>278.0698046</v>
      </c>
      <c r="H115" s="29">
        <f>MAX(MAX(Inputs!$B$5,(Inputs!$B$5+(E115-Inputs!$B$5)*MIN(1,$B$16/G115)))+$B$7/2,MAX((Inputs!$B$5+(E115-Inputs!$B$5)*MIN(1,$B$16/G115)),E115)+Inputs!$B$41)</f>
        <v>291.8</v>
      </c>
      <c r="I115" s="29">
        <f>MIN(IF(OR(Inputs!$C$68=0,((((Inputs!$C$68*COS(($B115))+Inputs!$B$68*SIN(($B115)))-Inputs!$B$5)*(E115-Inputs!$B$5)+((Inputs!$C$68*SIN(($B115))-Inputs!$B$68*COS(($B115)))-Inputs!$B$6)*(F115-Inputs!$B$6))/G115)&lt;0,((((Inputs!$C$68*COS(($B115))+Inputs!$B$68*SIN(($B115)))-Inputs!$B$5)*(E115-Inputs!$B$5)+((Inputs!$C$68*SIN(($B115))-Inputs!$B$68*COS(($B115)))-Inputs!$B$6)*(F115-Inputs!$B$6))/G115)&gt;G115-Inputs!$B$40),999,(ABS((E115-Inputs!$B$5)*((Inputs!$C$68*SIN(($B115))-Inputs!$B$68*COS(($B115)))-Inputs!$B$6)-(F115-Inputs!$B$6)*((Inputs!$C$68*COS(($B115))+Inputs!$B$68*SIN(($B115)))-Inputs!$B$5))/G115)-IF(((((Inputs!$C$68*COS(($B115))+Inputs!$B$68*SIN(($B115)))-Inputs!$B$5)*(E115-Inputs!$B$5)+((Inputs!$C$68*SIN(($B115))-Inputs!$B$68*COS(($B115)))-Inputs!$B$6)*(F115-Inputs!$B$6))/G115)&lt;$B$16,$B$7/2,$B$8/2)-Inputs!$B$39),IF(OR(Inputs!$C$69=0,((((Inputs!$C$69*COS(($B115))+Inputs!$B$69*SIN(($B115)))-Inputs!$B$5)*(E115-Inputs!$B$5)+((Inputs!$C$69*SIN(($B115))-Inputs!$B$69*COS(($B115)))-Inputs!$B$6)*(F115-Inputs!$B$6))/G115)&lt;0,((((Inputs!$C$69*COS(($B115))+Inputs!$B$69*SIN(($B115)))-Inputs!$B$5)*(E115-Inputs!$B$5)+((Inputs!$C$69*SIN(($B115))-Inputs!$B$69*COS(($B115)))-Inputs!$B$6)*(F115-Inputs!$B$6))/G115)&gt;G115-Inputs!$B$40),999,(ABS((E115-Inputs!$B$5)*((Inputs!$C$69*SIN(($B115))-Inputs!$B$69*COS(($B115)))-Inputs!$B$6)-(F115-Inputs!$B$6)*((Inputs!$C$69*COS(($B115))+Inputs!$B$69*SIN(($B115)))-Inputs!$B$5))/G115)-IF(((((Inputs!$C$69*COS(($B115))+Inputs!$B$69*SIN(($B115)))-Inputs!$B$5)*(E115-Inputs!$B$5)+((Inputs!$C$69*SIN(($B115))-Inputs!$B$69*COS(($B115)))-Inputs!$B$6)*(F115-Inputs!$B$6))/G115)&lt;$B$16,$B$7/2,$B$8/2)-Inputs!$B$39),IF(OR(Inputs!$C$70=0,((((Inputs!$C$70*COS(($B115))+Inputs!$B$70*SIN(($B115)))-Inputs!$B$5)*(E115-Inputs!$B$5)+((Inputs!$C$70*SIN(($B115))-Inputs!$B$70*COS(($B115)))-Inputs!$B$6)*(F115-Inputs!$B$6))/G115)&lt;0,((((Inputs!$C$70*COS(($B115))+Inputs!$B$70*SIN(($B115)))-Inputs!$B$5)*(E115-Inputs!$B$5)+((Inputs!$C$70*SIN(($B115))-Inputs!$B$70*COS(($B115)))-Inputs!$B$6)*(F115-Inputs!$B$6))/G115)&gt;G115-Inputs!$B$40),999,(ABS((E115-Inputs!$B$5)*((Inputs!$C$70*SIN(($B115))-Inputs!$B$70*COS(($B115)))-Inputs!$B$6)-(F115-Inputs!$B$6)*((Inputs!$C$70*COS(($B115))+Inputs!$B$70*SIN(($B115)))-Inputs!$B$5))/G115)-IF(((((Inputs!$C$70*COS(($B115))+Inputs!$B$70*SIN(($B115)))-Inputs!$B$5)*(E115-Inputs!$B$5)+((Inputs!$C$70*SIN(($B115))-Inputs!$B$70*COS(($B115)))-Inputs!$B$6)*(F115-Inputs!$B$6))/G115)&lt;$B$16,$B$7/2,$B$8/2)-Inputs!$B$39),IF(OR(Inputs!$C$71=0,((((Inputs!$C$71*COS(($B115))+Inputs!$B$71*SIN(($B115)))-Inputs!$B$5)*(E115-Inputs!$B$5)+((Inputs!$C$71*SIN(($B115))-Inputs!$B$71*COS(($B115)))-Inputs!$B$6)*(F115-Inputs!$B$6))/G115)&lt;0,((((Inputs!$C$71*COS(($B115))+Inputs!$B$71*SIN(($B115)))-Inputs!$B$5)*(E115-Inputs!$B$5)+((Inputs!$C$71*SIN(($B115))-Inputs!$B$71*COS(($B115)))-Inputs!$B$6)*(F115-Inputs!$B$6))/G115)&gt;G115-Inputs!$B$40),999,(ABS((E115-Inputs!$B$5)*((Inputs!$C$71*SIN(($B115))-Inputs!$B$71*COS(($B115)))-Inputs!$B$6)-(F115-Inputs!$B$6)*((Inputs!$C$71*COS(($B115))+Inputs!$B$71*SIN(($B115)))-Inputs!$B$5))/G115)-IF(((((Inputs!$C$71*COS(($B115))+Inputs!$B$71*SIN(($B115)))-Inputs!$B$5)*(E115-Inputs!$B$5)+((Inputs!$C$71*SIN(($B115))-Inputs!$B$71*COS(($B115)))-Inputs!$B$6)*(F115-Inputs!$B$6))/G115)&lt;$B$16,$B$7/2,$B$8/2)-Inputs!$B$39),IF(OR(Inputs!$C$72=0,((((Inputs!$C$72*COS(($B115))+Inputs!$B$72*SIN(($B115)))-Inputs!$B$5)*(E115-Inputs!$B$5)+((Inputs!$C$72*SIN(($B115))-Inputs!$B$72*COS(($B115)))-Inputs!$B$6)*(F115-Inputs!$B$6))/G115)&lt;0,((((Inputs!$C$72*COS(($B115))+Inputs!$B$72*SIN(($B115)))-Inputs!$B$5)*(E115-Inputs!$B$5)+((Inputs!$C$72*SIN(($B115))-Inputs!$B$72*COS(($B115)))-Inputs!$B$6)*(F115-Inputs!$B$6))/G115)&gt;G115-Inputs!$B$40),999,(ABS((E115-Inputs!$B$5)*((Inputs!$C$72*SIN(($B115))-Inputs!$B$72*COS(($B115)))-Inputs!$B$6)-(F115-Inputs!$B$6)*((Inputs!$C$72*COS(($B115))+Inputs!$B$72*SIN(($B115)))-Inputs!$B$5))/G115)-IF(((((Inputs!$C$72*COS(($B115))+Inputs!$B$72*SIN(($B115)))-Inputs!$B$5)*(E115-Inputs!$B$5)+((Inputs!$C$72*SIN(($B115))-Inputs!$B$72*COS(($B115)))-Inputs!$B$6)*(F115-Inputs!$B$6))/G115)&lt;$B$16,$B$7/2,$B$8/2)-Inputs!$B$39))</f>
        <v>44.74057604</v>
      </c>
      <c r="J115" s="76">
        <f>IF(AND(G115&gt;=$B$14,G115&lt;=$B$15,H115&lt;=Inputs!$B$38,I115&gt;=0,$D115=1),1,0)</f>
        <v>0</v>
      </c>
      <c r="K115" s="29">
        <f>Inputs!$B$11*COS((-$B115))-Inputs!$B$7*SIN((-$B115))</f>
        <v>29.36012349</v>
      </c>
      <c r="L115" s="29">
        <f>Inputs!$B$11*SIN((-$B115))+Inputs!$B$7*COS((-$B115))</f>
        <v>-219.8321273</v>
      </c>
      <c r="M115" s="29">
        <f>SQRT((K115-Inputs!$B$5)^2+(L115-Inputs!$B$6)^2)</f>
        <v>388.5544296</v>
      </c>
      <c r="N115" s="29">
        <f>MAX(MAX(Inputs!$B$5,(Inputs!$B$5+(K115-Inputs!$B$5)*MIN(1,$B$16/M115)))+$B$7/2,MAX((Inputs!$B$5+(K115-Inputs!$B$5)*MIN(1,$B$16/M115)),K115)+Inputs!$B$41)</f>
        <v>291.8</v>
      </c>
      <c r="O115" s="29">
        <f>MIN(IF(OR(Inputs!$C$68=0,((((Inputs!$C$68*COS((-$B115))+Inputs!$B$68*SIN((-$B115)))-Inputs!$B$5)*(K115-Inputs!$B$5)+((Inputs!$C$68*SIN((-$B115))-Inputs!$B$68*COS((-$B115)))-Inputs!$B$6)*(L115-Inputs!$B$6))/M115)&lt;0,((((Inputs!$C$68*COS((-$B115))+Inputs!$B$68*SIN((-$B115)))-Inputs!$B$5)*(K115-Inputs!$B$5)+((Inputs!$C$68*SIN((-$B115))-Inputs!$B$68*COS((-$B115)))-Inputs!$B$6)*(L115-Inputs!$B$6))/M115)&gt;M115-Inputs!$B$40),999,(ABS((K115-Inputs!$B$5)*((Inputs!$C$68*SIN((-$B115))-Inputs!$B$68*COS((-$B115)))-Inputs!$B$6)-(L115-Inputs!$B$6)*((Inputs!$C$68*COS((-$B115))+Inputs!$B$68*SIN((-$B115)))-Inputs!$B$5))/M115)-IF(((((Inputs!$C$68*COS((-$B115))+Inputs!$B$68*SIN((-$B115)))-Inputs!$B$5)*(K115-Inputs!$B$5)+((Inputs!$C$68*SIN((-$B115))-Inputs!$B$68*COS((-$B115)))-Inputs!$B$6)*(L115-Inputs!$B$6))/M115)&lt;$B$16,$B$7/2,$B$8/2)-Inputs!$B$39),IF(OR(Inputs!$C$69=0,((((Inputs!$C$69*COS((-$B115))+Inputs!$B$69*SIN((-$B115)))-Inputs!$B$5)*(K115-Inputs!$B$5)+((Inputs!$C$69*SIN((-$B115))-Inputs!$B$69*COS((-$B115)))-Inputs!$B$6)*(L115-Inputs!$B$6))/M115)&lt;0,((((Inputs!$C$69*COS((-$B115))+Inputs!$B$69*SIN((-$B115)))-Inputs!$B$5)*(K115-Inputs!$B$5)+((Inputs!$C$69*SIN((-$B115))-Inputs!$B$69*COS((-$B115)))-Inputs!$B$6)*(L115-Inputs!$B$6))/M115)&gt;M115-Inputs!$B$40),999,(ABS((K115-Inputs!$B$5)*((Inputs!$C$69*SIN((-$B115))-Inputs!$B$69*COS((-$B115)))-Inputs!$B$6)-(L115-Inputs!$B$6)*((Inputs!$C$69*COS((-$B115))+Inputs!$B$69*SIN((-$B115)))-Inputs!$B$5))/M115)-IF(((((Inputs!$C$69*COS((-$B115))+Inputs!$B$69*SIN((-$B115)))-Inputs!$B$5)*(K115-Inputs!$B$5)+((Inputs!$C$69*SIN((-$B115))-Inputs!$B$69*COS((-$B115)))-Inputs!$B$6)*(L115-Inputs!$B$6))/M115)&lt;$B$16,$B$7/2,$B$8/2)-Inputs!$B$39),IF(OR(Inputs!$C$70=0,((((Inputs!$C$70*COS((-$B115))+Inputs!$B$70*SIN((-$B115)))-Inputs!$B$5)*(K115-Inputs!$B$5)+((Inputs!$C$70*SIN((-$B115))-Inputs!$B$70*COS((-$B115)))-Inputs!$B$6)*(L115-Inputs!$B$6))/M115)&lt;0,((((Inputs!$C$70*COS((-$B115))+Inputs!$B$70*SIN((-$B115)))-Inputs!$B$5)*(K115-Inputs!$B$5)+((Inputs!$C$70*SIN((-$B115))-Inputs!$B$70*COS((-$B115)))-Inputs!$B$6)*(L115-Inputs!$B$6))/M115)&gt;M115-Inputs!$B$40),999,(ABS((K115-Inputs!$B$5)*((Inputs!$C$70*SIN((-$B115))-Inputs!$B$70*COS((-$B115)))-Inputs!$B$6)-(L115-Inputs!$B$6)*((Inputs!$C$70*COS((-$B115))+Inputs!$B$70*SIN((-$B115)))-Inputs!$B$5))/M115)-IF(((((Inputs!$C$70*COS((-$B115))+Inputs!$B$70*SIN((-$B115)))-Inputs!$B$5)*(K115-Inputs!$B$5)+((Inputs!$C$70*SIN((-$B115))-Inputs!$B$70*COS((-$B115)))-Inputs!$B$6)*(L115-Inputs!$B$6))/M115)&lt;$B$16,$B$7/2,$B$8/2)-Inputs!$B$39),IF(OR(Inputs!$C$71=0,((((Inputs!$C$71*COS((-$B115))+Inputs!$B$71*SIN((-$B115)))-Inputs!$B$5)*(K115-Inputs!$B$5)+((Inputs!$C$71*SIN((-$B115))-Inputs!$B$71*COS((-$B115)))-Inputs!$B$6)*(L115-Inputs!$B$6))/M115)&lt;0,((((Inputs!$C$71*COS((-$B115))+Inputs!$B$71*SIN((-$B115)))-Inputs!$B$5)*(K115-Inputs!$B$5)+((Inputs!$C$71*SIN((-$B115))-Inputs!$B$71*COS((-$B115)))-Inputs!$B$6)*(L115-Inputs!$B$6))/M115)&gt;M115-Inputs!$B$40),999,(ABS((K115-Inputs!$B$5)*((Inputs!$C$71*SIN((-$B115))-Inputs!$B$71*COS((-$B115)))-Inputs!$B$6)-(L115-Inputs!$B$6)*((Inputs!$C$71*COS((-$B115))+Inputs!$B$71*SIN((-$B115)))-Inputs!$B$5))/M115)-IF(((((Inputs!$C$71*COS((-$B115))+Inputs!$B$71*SIN((-$B115)))-Inputs!$B$5)*(K115-Inputs!$B$5)+((Inputs!$C$71*SIN((-$B115))-Inputs!$B$71*COS((-$B115)))-Inputs!$B$6)*(L115-Inputs!$B$6))/M115)&lt;$B$16,$B$7/2,$B$8/2)-Inputs!$B$39),IF(OR(Inputs!$C$72=0,((((Inputs!$C$72*COS((-$B115))+Inputs!$B$72*SIN((-$B115)))-Inputs!$B$5)*(K115-Inputs!$B$5)+((Inputs!$C$72*SIN((-$B115))-Inputs!$B$72*COS((-$B115)))-Inputs!$B$6)*(L115-Inputs!$B$6))/M115)&lt;0,((((Inputs!$C$72*COS((-$B115))+Inputs!$B$72*SIN((-$B115)))-Inputs!$B$5)*(K115-Inputs!$B$5)+((Inputs!$C$72*SIN((-$B115))-Inputs!$B$72*COS((-$B115)))-Inputs!$B$6)*(L115-Inputs!$B$6))/M115)&gt;M115-Inputs!$B$40),999,(ABS((K115-Inputs!$B$5)*((Inputs!$C$72*SIN((-$B115))-Inputs!$B$72*COS((-$B115)))-Inputs!$B$6)-(L115-Inputs!$B$6)*((Inputs!$C$72*COS((-$B115))+Inputs!$B$72*SIN((-$B115)))-Inputs!$B$5))/M115)-IF(((((Inputs!$C$72*COS((-$B115))+Inputs!$B$72*SIN((-$B115)))-Inputs!$B$5)*(K115-Inputs!$B$5)+((Inputs!$C$72*SIN((-$B115))-Inputs!$B$72*COS((-$B115)))-Inputs!$B$6)*(L115-Inputs!$B$6))/M115)&lt;$B$16,$B$7/2,$B$8/2)-Inputs!$B$39))</f>
        <v>1.862196789</v>
      </c>
      <c r="P115" s="76">
        <f>IF(AND(M115&gt;=$B$14,M115&lt;=$B$15,N115&lt;=Inputs!$B$38,O115&gt;=0,$D115=1),1,0)</f>
        <v>0</v>
      </c>
    </row>
    <row r="116" ht="15.75" customHeight="1">
      <c r="A116" s="23">
        <v>18.25</v>
      </c>
      <c r="B116" s="40">
        <f t="shared" si="4"/>
        <v>0.3185225885</v>
      </c>
      <c r="C116" s="29">
        <f>MAX(Inputs!$C$68*COS($B116)+Inputs!$B$68*ABS(SIN($B116)),Inputs!$C$69*COS($B116)+Inputs!$B$69*ABS(SIN($B116)),Inputs!$C$70*COS($B116)+Inputs!$B$70*ABS(SIN($B116)),Inputs!$C$71*COS($B116)+Inputs!$B$71*ABS(SIN($B116)),Inputs!$C$72*COS($B116)+Inputs!$B$72*ABS(SIN($B116)))</f>
        <v>199.877751</v>
      </c>
      <c r="D116" s="108">
        <f>IF(C116&lt;=Inputs!$B$38,1,0)</f>
        <v>1</v>
      </c>
      <c r="E116" s="29">
        <f>Inputs!$B$11*COS(($B116))-Inputs!$B$7*SIN(($B116))</f>
        <v>153.666171</v>
      </c>
      <c r="F116" s="29">
        <f>Inputs!$B$11*SIN(($B116))+Inputs!$B$7*COS(($B116))</f>
        <v>-159.9215086</v>
      </c>
      <c r="G116" s="29">
        <f>SQRT((E116-Inputs!$B$5)^2+(F116-Inputs!$B$6)^2)</f>
        <v>277.1992013</v>
      </c>
      <c r="H116" s="29">
        <f>MAX(MAX(Inputs!$B$5,(Inputs!$B$5+(E116-Inputs!$B$5)*MIN(1,$B$16/G116)))+$B$7/2,MAX((Inputs!$B$5+(E116-Inputs!$B$5)*MIN(1,$B$16/G116)),E116)+Inputs!$B$41)</f>
        <v>291.8</v>
      </c>
      <c r="I116" s="29">
        <f>MIN(IF(OR(Inputs!$C$68=0,((((Inputs!$C$68*COS(($B116))+Inputs!$B$68*SIN(($B116)))-Inputs!$B$5)*(E116-Inputs!$B$5)+((Inputs!$C$68*SIN(($B116))-Inputs!$B$68*COS(($B116)))-Inputs!$B$6)*(F116-Inputs!$B$6))/G116)&lt;0,((((Inputs!$C$68*COS(($B116))+Inputs!$B$68*SIN(($B116)))-Inputs!$B$5)*(E116-Inputs!$B$5)+((Inputs!$C$68*SIN(($B116))-Inputs!$B$68*COS(($B116)))-Inputs!$B$6)*(F116-Inputs!$B$6))/G116)&gt;G116-Inputs!$B$40),999,(ABS((E116-Inputs!$B$5)*((Inputs!$C$68*SIN(($B116))-Inputs!$B$68*COS(($B116)))-Inputs!$B$6)-(F116-Inputs!$B$6)*((Inputs!$C$68*COS(($B116))+Inputs!$B$68*SIN(($B116)))-Inputs!$B$5))/G116)-IF(((((Inputs!$C$68*COS(($B116))+Inputs!$B$68*SIN(($B116)))-Inputs!$B$5)*(E116-Inputs!$B$5)+((Inputs!$C$68*SIN(($B116))-Inputs!$B$68*COS(($B116)))-Inputs!$B$6)*(F116-Inputs!$B$6))/G116)&lt;$B$16,$B$7/2,$B$8/2)-Inputs!$B$39),IF(OR(Inputs!$C$69=0,((((Inputs!$C$69*COS(($B116))+Inputs!$B$69*SIN(($B116)))-Inputs!$B$5)*(E116-Inputs!$B$5)+((Inputs!$C$69*SIN(($B116))-Inputs!$B$69*COS(($B116)))-Inputs!$B$6)*(F116-Inputs!$B$6))/G116)&lt;0,((((Inputs!$C$69*COS(($B116))+Inputs!$B$69*SIN(($B116)))-Inputs!$B$5)*(E116-Inputs!$B$5)+((Inputs!$C$69*SIN(($B116))-Inputs!$B$69*COS(($B116)))-Inputs!$B$6)*(F116-Inputs!$B$6))/G116)&gt;G116-Inputs!$B$40),999,(ABS((E116-Inputs!$B$5)*((Inputs!$C$69*SIN(($B116))-Inputs!$B$69*COS(($B116)))-Inputs!$B$6)-(F116-Inputs!$B$6)*((Inputs!$C$69*COS(($B116))+Inputs!$B$69*SIN(($B116)))-Inputs!$B$5))/G116)-IF(((((Inputs!$C$69*COS(($B116))+Inputs!$B$69*SIN(($B116)))-Inputs!$B$5)*(E116-Inputs!$B$5)+((Inputs!$C$69*SIN(($B116))-Inputs!$B$69*COS(($B116)))-Inputs!$B$6)*(F116-Inputs!$B$6))/G116)&lt;$B$16,$B$7/2,$B$8/2)-Inputs!$B$39),IF(OR(Inputs!$C$70=0,((((Inputs!$C$70*COS(($B116))+Inputs!$B$70*SIN(($B116)))-Inputs!$B$5)*(E116-Inputs!$B$5)+((Inputs!$C$70*SIN(($B116))-Inputs!$B$70*COS(($B116)))-Inputs!$B$6)*(F116-Inputs!$B$6))/G116)&lt;0,((((Inputs!$C$70*COS(($B116))+Inputs!$B$70*SIN(($B116)))-Inputs!$B$5)*(E116-Inputs!$B$5)+((Inputs!$C$70*SIN(($B116))-Inputs!$B$70*COS(($B116)))-Inputs!$B$6)*(F116-Inputs!$B$6))/G116)&gt;G116-Inputs!$B$40),999,(ABS((E116-Inputs!$B$5)*((Inputs!$C$70*SIN(($B116))-Inputs!$B$70*COS(($B116)))-Inputs!$B$6)-(F116-Inputs!$B$6)*((Inputs!$C$70*COS(($B116))+Inputs!$B$70*SIN(($B116)))-Inputs!$B$5))/G116)-IF(((((Inputs!$C$70*COS(($B116))+Inputs!$B$70*SIN(($B116)))-Inputs!$B$5)*(E116-Inputs!$B$5)+((Inputs!$C$70*SIN(($B116))-Inputs!$B$70*COS(($B116)))-Inputs!$B$6)*(F116-Inputs!$B$6))/G116)&lt;$B$16,$B$7/2,$B$8/2)-Inputs!$B$39),IF(OR(Inputs!$C$71=0,((((Inputs!$C$71*COS(($B116))+Inputs!$B$71*SIN(($B116)))-Inputs!$B$5)*(E116-Inputs!$B$5)+((Inputs!$C$71*SIN(($B116))-Inputs!$B$71*COS(($B116)))-Inputs!$B$6)*(F116-Inputs!$B$6))/G116)&lt;0,((((Inputs!$C$71*COS(($B116))+Inputs!$B$71*SIN(($B116)))-Inputs!$B$5)*(E116-Inputs!$B$5)+((Inputs!$C$71*SIN(($B116))-Inputs!$B$71*COS(($B116)))-Inputs!$B$6)*(F116-Inputs!$B$6))/G116)&gt;G116-Inputs!$B$40),999,(ABS((E116-Inputs!$B$5)*((Inputs!$C$71*SIN(($B116))-Inputs!$B$71*COS(($B116)))-Inputs!$B$6)-(F116-Inputs!$B$6)*((Inputs!$C$71*COS(($B116))+Inputs!$B$71*SIN(($B116)))-Inputs!$B$5))/G116)-IF(((((Inputs!$C$71*COS(($B116))+Inputs!$B$71*SIN(($B116)))-Inputs!$B$5)*(E116-Inputs!$B$5)+((Inputs!$C$71*SIN(($B116))-Inputs!$B$71*COS(($B116)))-Inputs!$B$6)*(F116-Inputs!$B$6))/G116)&lt;$B$16,$B$7/2,$B$8/2)-Inputs!$B$39),IF(OR(Inputs!$C$72=0,((((Inputs!$C$72*COS(($B116))+Inputs!$B$72*SIN(($B116)))-Inputs!$B$5)*(E116-Inputs!$B$5)+((Inputs!$C$72*SIN(($B116))-Inputs!$B$72*COS(($B116)))-Inputs!$B$6)*(F116-Inputs!$B$6))/G116)&lt;0,((((Inputs!$C$72*COS(($B116))+Inputs!$B$72*SIN(($B116)))-Inputs!$B$5)*(E116-Inputs!$B$5)+((Inputs!$C$72*SIN(($B116))-Inputs!$B$72*COS(($B116)))-Inputs!$B$6)*(F116-Inputs!$B$6))/G116)&gt;G116-Inputs!$B$40),999,(ABS((E116-Inputs!$B$5)*((Inputs!$C$72*SIN(($B116))-Inputs!$B$72*COS(($B116)))-Inputs!$B$6)-(F116-Inputs!$B$6)*((Inputs!$C$72*COS(($B116))+Inputs!$B$72*SIN(($B116)))-Inputs!$B$5))/G116)-IF(((((Inputs!$C$72*COS(($B116))+Inputs!$B$72*SIN(($B116)))-Inputs!$B$5)*(E116-Inputs!$B$5)+((Inputs!$C$72*SIN(($B116))-Inputs!$B$72*COS(($B116)))-Inputs!$B$6)*(F116-Inputs!$B$6))/G116)&lt;$B$16,$B$7/2,$B$8/2)-Inputs!$B$39))</f>
        <v>44.91921529</v>
      </c>
      <c r="J116" s="76">
        <f>IF(AND(G116&gt;=$B$14,G116&lt;=$B$15,H116&lt;=Inputs!$B$38,I116&gt;=0,$D116=1),1,0)</f>
        <v>0</v>
      </c>
      <c r="K116" s="29">
        <f>Inputs!$B$11*COS((-$B116))-Inputs!$B$7*SIN((-$B116))</f>
        <v>28.40064845</v>
      </c>
      <c r="L116" s="29">
        <f>Inputs!$B$11*SIN((-$B116))+Inputs!$B$7*COS((-$B116))</f>
        <v>-219.9581419</v>
      </c>
      <c r="M116" s="29">
        <f>SQRT((K116-Inputs!$B$5)^2+(L116-Inputs!$B$6)^2)</f>
        <v>389.2036552</v>
      </c>
      <c r="N116" s="29">
        <f>MAX(MAX(Inputs!$B$5,(Inputs!$B$5+(K116-Inputs!$B$5)*MIN(1,$B$16/M116)))+$B$7/2,MAX((Inputs!$B$5+(K116-Inputs!$B$5)*MIN(1,$B$16/M116)),K116)+Inputs!$B$41)</f>
        <v>291.8</v>
      </c>
      <c r="O116" s="29">
        <f>MIN(IF(OR(Inputs!$C$68=0,((((Inputs!$C$68*COS((-$B116))+Inputs!$B$68*SIN((-$B116)))-Inputs!$B$5)*(K116-Inputs!$B$5)+((Inputs!$C$68*SIN((-$B116))-Inputs!$B$68*COS((-$B116)))-Inputs!$B$6)*(L116-Inputs!$B$6))/M116)&lt;0,((((Inputs!$C$68*COS((-$B116))+Inputs!$B$68*SIN((-$B116)))-Inputs!$B$5)*(K116-Inputs!$B$5)+((Inputs!$C$68*SIN((-$B116))-Inputs!$B$68*COS((-$B116)))-Inputs!$B$6)*(L116-Inputs!$B$6))/M116)&gt;M116-Inputs!$B$40),999,(ABS((K116-Inputs!$B$5)*((Inputs!$C$68*SIN((-$B116))-Inputs!$B$68*COS((-$B116)))-Inputs!$B$6)-(L116-Inputs!$B$6)*((Inputs!$C$68*COS((-$B116))+Inputs!$B$68*SIN((-$B116)))-Inputs!$B$5))/M116)-IF(((((Inputs!$C$68*COS((-$B116))+Inputs!$B$68*SIN((-$B116)))-Inputs!$B$5)*(K116-Inputs!$B$5)+((Inputs!$C$68*SIN((-$B116))-Inputs!$B$68*COS((-$B116)))-Inputs!$B$6)*(L116-Inputs!$B$6))/M116)&lt;$B$16,$B$7/2,$B$8/2)-Inputs!$B$39),IF(OR(Inputs!$C$69=0,((((Inputs!$C$69*COS((-$B116))+Inputs!$B$69*SIN((-$B116)))-Inputs!$B$5)*(K116-Inputs!$B$5)+((Inputs!$C$69*SIN((-$B116))-Inputs!$B$69*COS((-$B116)))-Inputs!$B$6)*(L116-Inputs!$B$6))/M116)&lt;0,((((Inputs!$C$69*COS((-$B116))+Inputs!$B$69*SIN((-$B116)))-Inputs!$B$5)*(K116-Inputs!$B$5)+((Inputs!$C$69*SIN((-$B116))-Inputs!$B$69*COS((-$B116)))-Inputs!$B$6)*(L116-Inputs!$B$6))/M116)&gt;M116-Inputs!$B$40),999,(ABS((K116-Inputs!$B$5)*((Inputs!$C$69*SIN((-$B116))-Inputs!$B$69*COS((-$B116)))-Inputs!$B$6)-(L116-Inputs!$B$6)*((Inputs!$C$69*COS((-$B116))+Inputs!$B$69*SIN((-$B116)))-Inputs!$B$5))/M116)-IF(((((Inputs!$C$69*COS((-$B116))+Inputs!$B$69*SIN((-$B116)))-Inputs!$B$5)*(K116-Inputs!$B$5)+((Inputs!$C$69*SIN((-$B116))-Inputs!$B$69*COS((-$B116)))-Inputs!$B$6)*(L116-Inputs!$B$6))/M116)&lt;$B$16,$B$7/2,$B$8/2)-Inputs!$B$39),IF(OR(Inputs!$C$70=0,((((Inputs!$C$70*COS((-$B116))+Inputs!$B$70*SIN((-$B116)))-Inputs!$B$5)*(K116-Inputs!$B$5)+((Inputs!$C$70*SIN((-$B116))-Inputs!$B$70*COS((-$B116)))-Inputs!$B$6)*(L116-Inputs!$B$6))/M116)&lt;0,((((Inputs!$C$70*COS((-$B116))+Inputs!$B$70*SIN((-$B116)))-Inputs!$B$5)*(K116-Inputs!$B$5)+((Inputs!$C$70*SIN((-$B116))-Inputs!$B$70*COS((-$B116)))-Inputs!$B$6)*(L116-Inputs!$B$6))/M116)&gt;M116-Inputs!$B$40),999,(ABS((K116-Inputs!$B$5)*((Inputs!$C$70*SIN((-$B116))-Inputs!$B$70*COS((-$B116)))-Inputs!$B$6)-(L116-Inputs!$B$6)*((Inputs!$C$70*COS((-$B116))+Inputs!$B$70*SIN((-$B116)))-Inputs!$B$5))/M116)-IF(((((Inputs!$C$70*COS((-$B116))+Inputs!$B$70*SIN((-$B116)))-Inputs!$B$5)*(K116-Inputs!$B$5)+((Inputs!$C$70*SIN((-$B116))-Inputs!$B$70*COS((-$B116)))-Inputs!$B$6)*(L116-Inputs!$B$6))/M116)&lt;$B$16,$B$7/2,$B$8/2)-Inputs!$B$39),IF(OR(Inputs!$C$71=0,((((Inputs!$C$71*COS((-$B116))+Inputs!$B$71*SIN((-$B116)))-Inputs!$B$5)*(K116-Inputs!$B$5)+((Inputs!$C$71*SIN((-$B116))-Inputs!$B$71*COS((-$B116)))-Inputs!$B$6)*(L116-Inputs!$B$6))/M116)&lt;0,((((Inputs!$C$71*COS((-$B116))+Inputs!$B$71*SIN((-$B116)))-Inputs!$B$5)*(K116-Inputs!$B$5)+((Inputs!$C$71*SIN((-$B116))-Inputs!$B$71*COS((-$B116)))-Inputs!$B$6)*(L116-Inputs!$B$6))/M116)&gt;M116-Inputs!$B$40),999,(ABS((K116-Inputs!$B$5)*((Inputs!$C$71*SIN((-$B116))-Inputs!$B$71*COS((-$B116)))-Inputs!$B$6)-(L116-Inputs!$B$6)*((Inputs!$C$71*COS((-$B116))+Inputs!$B$71*SIN((-$B116)))-Inputs!$B$5))/M116)-IF(((((Inputs!$C$71*COS((-$B116))+Inputs!$B$71*SIN((-$B116)))-Inputs!$B$5)*(K116-Inputs!$B$5)+((Inputs!$C$71*SIN((-$B116))-Inputs!$B$71*COS((-$B116)))-Inputs!$B$6)*(L116-Inputs!$B$6))/M116)&lt;$B$16,$B$7/2,$B$8/2)-Inputs!$B$39),IF(OR(Inputs!$C$72=0,((((Inputs!$C$72*COS((-$B116))+Inputs!$B$72*SIN((-$B116)))-Inputs!$B$5)*(K116-Inputs!$B$5)+((Inputs!$C$72*SIN((-$B116))-Inputs!$B$72*COS((-$B116)))-Inputs!$B$6)*(L116-Inputs!$B$6))/M116)&lt;0,((((Inputs!$C$72*COS((-$B116))+Inputs!$B$72*SIN((-$B116)))-Inputs!$B$5)*(K116-Inputs!$B$5)+((Inputs!$C$72*SIN((-$B116))-Inputs!$B$72*COS((-$B116)))-Inputs!$B$6)*(L116-Inputs!$B$6))/M116)&gt;M116-Inputs!$B$40),999,(ABS((K116-Inputs!$B$5)*((Inputs!$C$72*SIN((-$B116))-Inputs!$B$72*COS((-$B116)))-Inputs!$B$6)-(L116-Inputs!$B$6)*((Inputs!$C$72*COS((-$B116))+Inputs!$B$72*SIN((-$B116)))-Inputs!$B$5))/M116)-IF(((((Inputs!$C$72*COS((-$B116))+Inputs!$B$72*SIN((-$B116)))-Inputs!$B$5)*(K116-Inputs!$B$5)+((Inputs!$C$72*SIN((-$B116))-Inputs!$B$72*COS((-$B116)))-Inputs!$B$6)*(L116-Inputs!$B$6))/M116)&lt;$B$16,$B$7/2,$B$8/2)-Inputs!$B$39))</f>
        <v>1.529229436</v>
      </c>
      <c r="P116" s="76">
        <f>IF(AND(M116&gt;=$B$14,M116&lt;=$B$15,N116&lt;=Inputs!$B$38,O116&gt;=0,$D116=1),1,0)</f>
        <v>0</v>
      </c>
    </row>
    <row r="117" ht="15.75" customHeight="1">
      <c r="A117" s="23">
        <v>18.5</v>
      </c>
      <c r="B117" s="40">
        <f t="shared" si="4"/>
        <v>0.3228859116</v>
      </c>
      <c r="C117" s="29">
        <f>MAX(Inputs!$C$68*COS($B117)+Inputs!$B$68*ABS(SIN($B117)),Inputs!$C$69*COS($B117)+Inputs!$B$69*ABS(SIN($B117)),Inputs!$C$70*COS($B117)+Inputs!$B$70*ABS(SIN($B117)),Inputs!$C$71*COS($B117)+Inputs!$B$71*ABS(SIN($B117)),Inputs!$C$72*COS($B117)+Inputs!$B$72*ABS(SIN($B117)))</f>
        <v>201.4199546</v>
      </c>
      <c r="D117" s="108">
        <f>IF(C117&lt;=Inputs!$B$38,1,0)</f>
        <v>1</v>
      </c>
      <c r="E117" s="29">
        <f>Inputs!$B$11*COS(($B117))-Inputs!$B$7*SIN(($B117))</f>
        <v>154.3624953</v>
      </c>
      <c r="F117" s="29">
        <f>Inputs!$B$11*SIN(($B117))+Inputs!$B$7*COS(($B117))</f>
        <v>-159.2494932</v>
      </c>
      <c r="G117" s="29">
        <f>SQRT((E117-Inputs!$B$5)^2+(F117-Inputs!$B$6)^2)</f>
        <v>276.3274001</v>
      </c>
      <c r="H117" s="29">
        <f>MAX(MAX(Inputs!$B$5,(Inputs!$B$5+(E117-Inputs!$B$5)*MIN(1,$B$16/G117)))+$B$7/2,MAX((Inputs!$B$5+(E117-Inputs!$B$5)*MIN(1,$B$16/G117)),E117)+Inputs!$B$41)</f>
        <v>291.8</v>
      </c>
      <c r="I117" s="29">
        <f>MIN(IF(OR(Inputs!$C$68=0,((((Inputs!$C$68*COS(($B117))+Inputs!$B$68*SIN(($B117)))-Inputs!$B$5)*(E117-Inputs!$B$5)+((Inputs!$C$68*SIN(($B117))-Inputs!$B$68*COS(($B117)))-Inputs!$B$6)*(F117-Inputs!$B$6))/G117)&lt;0,((((Inputs!$C$68*COS(($B117))+Inputs!$B$68*SIN(($B117)))-Inputs!$B$5)*(E117-Inputs!$B$5)+((Inputs!$C$68*SIN(($B117))-Inputs!$B$68*COS(($B117)))-Inputs!$B$6)*(F117-Inputs!$B$6))/G117)&gt;G117-Inputs!$B$40),999,(ABS((E117-Inputs!$B$5)*((Inputs!$C$68*SIN(($B117))-Inputs!$B$68*COS(($B117)))-Inputs!$B$6)-(F117-Inputs!$B$6)*((Inputs!$C$68*COS(($B117))+Inputs!$B$68*SIN(($B117)))-Inputs!$B$5))/G117)-IF(((((Inputs!$C$68*COS(($B117))+Inputs!$B$68*SIN(($B117)))-Inputs!$B$5)*(E117-Inputs!$B$5)+((Inputs!$C$68*SIN(($B117))-Inputs!$B$68*COS(($B117)))-Inputs!$B$6)*(F117-Inputs!$B$6))/G117)&lt;$B$16,$B$7/2,$B$8/2)-Inputs!$B$39),IF(OR(Inputs!$C$69=0,((((Inputs!$C$69*COS(($B117))+Inputs!$B$69*SIN(($B117)))-Inputs!$B$5)*(E117-Inputs!$B$5)+((Inputs!$C$69*SIN(($B117))-Inputs!$B$69*COS(($B117)))-Inputs!$B$6)*(F117-Inputs!$B$6))/G117)&lt;0,((((Inputs!$C$69*COS(($B117))+Inputs!$B$69*SIN(($B117)))-Inputs!$B$5)*(E117-Inputs!$B$5)+((Inputs!$C$69*SIN(($B117))-Inputs!$B$69*COS(($B117)))-Inputs!$B$6)*(F117-Inputs!$B$6))/G117)&gt;G117-Inputs!$B$40),999,(ABS((E117-Inputs!$B$5)*((Inputs!$C$69*SIN(($B117))-Inputs!$B$69*COS(($B117)))-Inputs!$B$6)-(F117-Inputs!$B$6)*((Inputs!$C$69*COS(($B117))+Inputs!$B$69*SIN(($B117)))-Inputs!$B$5))/G117)-IF(((((Inputs!$C$69*COS(($B117))+Inputs!$B$69*SIN(($B117)))-Inputs!$B$5)*(E117-Inputs!$B$5)+((Inputs!$C$69*SIN(($B117))-Inputs!$B$69*COS(($B117)))-Inputs!$B$6)*(F117-Inputs!$B$6))/G117)&lt;$B$16,$B$7/2,$B$8/2)-Inputs!$B$39),IF(OR(Inputs!$C$70=0,((((Inputs!$C$70*COS(($B117))+Inputs!$B$70*SIN(($B117)))-Inputs!$B$5)*(E117-Inputs!$B$5)+((Inputs!$C$70*SIN(($B117))-Inputs!$B$70*COS(($B117)))-Inputs!$B$6)*(F117-Inputs!$B$6))/G117)&lt;0,((((Inputs!$C$70*COS(($B117))+Inputs!$B$70*SIN(($B117)))-Inputs!$B$5)*(E117-Inputs!$B$5)+((Inputs!$C$70*SIN(($B117))-Inputs!$B$70*COS(($B117)))-Inputs!$B$6)*(F117-Inputs!$B$6))/G117)&gt;G117-Inputs!$B$40),999,(ABS((E117-Inputs!$B$5)*((Inputs!$C$70*SIN(($B117))-Inputs!$B$70*COS(($B117)))-Inputs!$B$6)-(F117-Inputs!$B$6)*((Inputs!$C$70*COS(($B117))+Inputs!$B$70*SIN(($B117)))-Inputs!$B$5))/G117)-IF(((((Inputs!$C$70*COS(($B117))+Inputs!$B$70*SIN(($B117)))-Inputs!$B$5)*(E117-Inputs!$B$5)+((Inputs!$C$70*SIN(($B117))-Inputs!$B$70*COS(($B117)))-Inputs!$B$6)*(F117-Inputs!$B$6))/G117)&lt;$B$16,$B$7/2,$B$8/2)-Inputs!$B$39),IF(OR(Inputs!$C$71=0,((((Inputs!$C$71*COS(($B117))+Inputs!$B$71*SIN(($B117)))-Inputs!$B$5)*(E117-Inputs!$B$5)+((Inputs!$C$71*SIN(($B117))-Inputs!$B$71*COS(($B117)))-Inputs!$B$6)*(F117-Inputs!$B$6))/G117)&lt;0,((((Inputs!$C$71*COS(($B117))+Inputs!$B$71*SIN(($B117)))-Inputs!$B$5)*(E117-Inputs!$B$5)+((Inputs!$C$71*SIN(($B117))-Inputs!$B$71*COS(($B117)))-Inputs!$B$6)*(F117-Inputs!$B$6))/G117)&gt;G117-Inputs!$B$40),999,(ABS((E117-Inputs!$B$5)*((Inputs!$C$71*SIN(($B117))-Inputs!$B$71*COS(($B117)))-Inputs!$B$6)-(F117-Inputs!$B$6)*((Inputs!$C$71*COS(($B117))+Inputs!$B$71*SIN(($B117)))-Inputs!$B$5))/G117)-IF(((((Inputs!$C$71*COS(($B117))+Inputs!$B$71*SIN(($B117)))-Inputs!$B$5)*(E117-Inputs!$B$5)+((Inputs!$C$71*SIN(($B117))-Inputs!$B$71*COS(($B117)))-Inputs!$B$6)*(F117-Inputs!$B$6))/G117)&lt;$B$16,$B$7/2,$B$8/2)-Inputs!$B$39),IF(OR(Inputs!$C$72=0,((((Inputs!$C$72*COS(($B117))+Inputs!$B$72*SIN(($B117)))-Inputs!$B$5)*(E117-Inputs!$B$5)+((Inputs!$C$72*SIN(($B117))-Inputs!$B$72*COS(($B117)))-Inputs!$B$6)*(F117-Inputs!$B$6))/G117)&lt;0,((((Inputs!$C$72*COS(($B117))+Inputs!$B$72*SIN(($B117)))-Inputs!$B$5)*(E117-Inputs!$B$5)+((Inputs!$C$72*SIN(($B117))-Inputs!$B$72*COS(($B117)))-Inputs!$B$6)*(F117-Inputs!$B$6))/G117)&gt;G117-Inputs!$B$40),999,(ABS((E117-Inputs!$B$5)*((Inputs!$C$72*SIN(($B117))-Inputs!$B$72*COS(($B117)))-Inputs!$B$6)-(F117-Inputs!$B$6)*((Inputs!$C$72*COS(($B117))+Inputs!$B$72*SIN(($B117)))-Inputs!$B$5))/G117)-IF(((((Inputs!$C$72*COS(($B117))+Inputs!$B$72*SIN(($B117)))-Inputs!$B$5)*(E117-Inputs!$B$5)+((Inputs!$C$72*SIN(($B117))-Inputs!$B$72*COS(($B117)))-Inputs!$B$6)*(F117-Inputs!$B$6))/G117)&lt;$B$16,$B$7/2,$B$8/2)-Inputs!$B$39))</f>
        <v>45.09739012</v>
      </c>
      <c r="J117" s="76">
        <f>IF(AND(G117&gt;=$B$14,G117&lt;=$B$15,H117&lt;=Inputs!$B$38,I117&gt;=0,$D117=1),1,0)</f>
        <v>0</v>
      </c>
      <c r="K117" s="29">
        <f>Inputs!$B$11*COS((-$B117))-Inputs!$B$7*SIN((-$B117))</f>
        <v>27.44063269</v>
      </c>
      <c r="L117" s="29">
        <f>Inputs!$B$11*SIN((-$B117))+Inputs!$B$7*COS((-$B117))</f>
        <v>-220.0799689</v>
      </c>
      <c r="M117" s="29">
        <f>SQRT((K117-Inputs!$B$5)^2+(L117-Inputs!$B$6)^2)</f>
        <v>389.8510722</v>
      </c>
      <c r="N117" s="29">
        <f>MAX(MAX(Inputs!$B$5,(Inputs!$B$5+(K117-Inputs!$B$5)*MIN(1,$B$16/M117)))+$B$7/2,MAX((Inputs!$B$5+(K117-Inputs!$B$5)*MIN(1,$B$16/M117)),K117)+Inputs!$B$41)</f>
        <v>291.8</v>
      </c>
      <c r="O117" s="29">
        <f>MIN(IF(OR(Inputs!$C$68=0,((((Inputs!$C$68*COS((-$B117))+Inputs!$B$68*SIN((-$B117)))-Inputs!$B$5)*(K117-Inputs!$B$5)+((Inputs!$C$68*SIN((-$B117))-Inputs!$B$68*COS((-$B117)))-Inputs!$B$6)*(L117-Inputs!$B$6))/M117)&lt;0,((((Inputs!$C$68*COS((-$B117))+Inputs!$B$68*SIN((-$B117)))-Inputs!$B$5)*(K117-Inputs!$B$5)+((Inputs!$C$68*SIN((-$B117))-Inputs!$B$68*COS((-$B117)))-Inputs!$B$6)*(L117-Inputs!$B$6))/M117)&gt;M117-Inputs!$B$40),999,(ABS((K117-Inputs!$B$5)*((Inputs!$C$68*SIN((-$B117))-Inputs!$B$68*COS((-$B117)))-Inputs!$B$6)-(L117-Inputs!$B$6)*((Inputs!$C$68*COS((-$B117))+Inputs!$B$68*SIN((-$B117)))-Inputs!$B$5))/M117)-IF(((((Inputs!$C$68*COS((-$B117))+Inputs!$B$68*SIN((-$B117)))-Inputs!$B$5)*(K117-Inputs!$B$5)+((Inputs!$C$68*SIN((-$B117))-Inputs!$B$68*COS((-$B117)))-Inputs!$B$6)*(L117-Inputs!$B$6))/M117)&lt;$B$16,$B$7/2,$B$8/2)-Inputs!$B$39),IF(OR(Inputs!$C$69=0,((((Inputs!$C$69*COS((-$B117))+Inputs!$B$69*SIN((-$B117)))-Inputs!$B$5)*(K117-Inputs!$B$5)+((Inputs!$C$69*SIN((-$B117))-Inputs!$B$69*COS((-$B117)))-Inputs!$B$6)*(L117-Inputs!$B$6))/M117)&lt;0,((((Inputs!$C$69*COS((-$B117))+Inputs!$B$69*SIN((-$B117)))-Inputs!$B$5)*(K117-Inputs!$B$5)+((Inputs!$C$69*SIN((-$B117))-Inputs!$B$69*COS((-$B117)))-Inputs!$B$6)*(L117-Inputs!$B$6))/M117)&gt;M117-Inputs!$B$40),999,(ABS((K117-Inputs!$B$5)*((Inputs!$C$69*SIN((-$B117))-Inputs!$B$69*COS((-$B117)))-Inputs!$B$6)-(L117-Inputs!$B$6)*((Inputs!$C$69*COS((-$B117))+Inputs!$B$69*SIN((-$B117)))-Inputs!$B$5))/M117)-IF(((((Inputs!$C$69*COS((-$B117))+Inputs!$B$69*SIN((-$B117)))-Inputs!$B$5)*(K117-Inputs!$B$5)+((Inputs!$C$69*SIN((-$B117))-Inputs!$B$69*COS((-$B117)))-Inputs!$B$6)*(L117-Inputs!$B$6))/M117)&lt;$B$16,$B$7/2,$B$8/2)-Inputs!$B$39),IF(OR(Inputs!$C$70=0,((((Inputs!$C$70*COS((-$B117))+Inputs!$B$70*SIN((-$B117)))-Inputs!$B$5)*(K117-Inputs!$B$5)+((Inputs!$C$70*SIN((-$B117))-Inputs!$B$70*COS((-$B117)))-Inputs!$B$6)*(L117-Inputs!$B$6))/M117)&lt;0,((((Inputs!$C$70*COS((-$B117))+Inputs!$B$70*SIN((-$B117)))-Inputs!$B$5)*(K117-Inputs!$B$5)+((Inputs!$C$70*SIN((-$B117))-Inputs!$B$70*COS((-$B117)))-Inputs!$B$6)*(L117-Inputs!$B$6))/M117)&gt;M117-Inputs!$B$40),999,(ABS((K117-Inputs!$B$5)*((Inputs!$C$70*SIN((-$B117))-Inputs!$B$70*COS((-$B117)))-Inputs!$B$6)-(L117-Inputs!$B$6)*((Inputs!$C$70*COS((-$B117))+Inputs!$B$70*SIN((-$B117)))-Inputs!$B$5))/M117)-IF(((((Inputs!$C$70*COS((-$B117))+Inputs!$B$70*SIN((-$B117)))-Inputs!$B$5)*(K117-Inputs!$B$5)+((Inputs!$C$70*SIN((-$B117))-Inputs!$B$70*COS((-$B117)))-Inputs!$B$6)*(L117-Inputs!$B$6))/M117)&lt;$B$16,$B$7/2,$B$8/2)-Inputs!$B$39),IF(OR(Inputs!$C$71=0,((((Inputs!$C$71*COS((-$B117))+Inputs!$B$71*SIN((-$B117)))-Inputs!$B$5)*(K117-Inputs!$B$5)+((Inputs!$C$71*SIN((-$B117))-Inputs!$B$71*COS((-$B117)))-Inputs!$B$6)*(L117-Inputs!$B$6))/M117)&lt;0,((((Inputs!$C$71*COS((-$B117))+Inputs!$B$71*SIN((-$B117)))-Inputs!$B$5)*(K117-Inputs!$B$5)+((Inputs!$C$71*SIN((-$B117))-Inputs!$B$71*COS((-$B117)))-Inputs!$B$6)*(L117-Inputs!$B$6))/M117)&gt;M117-Inputs!$B$40),999,(ABS((K117-Inputs!$B$5)*((Inputs!$C$71*SIN((-$B117))-Inputs!$B$71*COS((-$B117)))-Inputs!$B$6)-(L117-Inputs!$B$6)*((Inputs!$C$71*COS((-$B117))+Inputs!$B$71*SIN((-$B117)))-Inputs!$B$5))/M117)-IF(((((Inputs!$C$71*COS((-$B117))+Inputs!$B$71*SIN((-$B117)))-Inputs!$B$5)*(K117-Inputs!$B$5)+((Inputs!$C$71*SIN((-$B117))-Inputs!$B$71*COS((-$B117)))-Inputs!$B$6)*(L117-Inputs!$B$6))/M117)&lt;$B$16,$B$7/2,$B$8/2)-Inputs!$B$39),IF(OR(Inputs!$C$72=0,((((Inputs!$C$72*COS((-$B117))+Inputs!$B$72*SIN((-$B117)))-Inputs!$B$5)*(K117-Inputs!$B$5)+((Inputs!$C$72*SIN((-$B117))-Inputs!$B$72*COS((-$B117)))-Inputs!$B$6)*(L117-Inputs!$B$6))/M117)&lt;0,((((Inputs!$C$72*COS((-$B117))+Inputs!$B$72*SIN((-$B117)))-Inputs!$B$5)*(K117-Inputs!$B$5)+((Inputs!$C$72*SIN((-$B117))-Inputs!$B$72*COS((-$B117)))-Inputs!$B$6)*(L117-Inputs!$B$6))/M117)&gt;M117-Inputs!$B$40),999,(ABS((K117-Inputs!$B$5)*((Inputs!$C$72*SIN((-$B117))-Inputs!$B$72*COS((-$B117)))-Inputs!$B$6)-(L117-Inputs!$B$6)*((Inputs!$C$72*COS((-$B117))+Inputs!$B$72*SIN((-$B117)))-Inputs!$B$5))/M117)-IF(((((Inputs!$C$72*COS((-$B117))+Inputs!$B$72*SIN((-$B117)))-Inputs!$B$5)*(K117-Inputs!$B$5)+((Inputs!$C$72*SIN((-$B117))-Inputs!$B$72*COS((-$B117)))-Inputs!$B$6)*(L117-Inputs!$B$6))/M117)&lt;$B$16,$B$7/2,$B$8/2)-Inputs!$B$39))</f>
        <v>27.93111646</v>
      </c>
      <c r="P117" s="76">
        <f>IF(AND(M117&gt;=$B$14,M117&lt;=$B$15,N117&lt;=Inputs!$B$38,O117&gt;=0,$D117=1),1,0)</f>
        <v>0</v>
      </c>
    </row>
    <row r="118" ht="15.75" customHeight="1">
      <c r="A118" s="23">
        <v>18.75</v>
      </c>
      <c r="B118" s="40">
        <f t="shared" si="4"/>
        <v>0.3272492347</v>
      </c>
      <c r="C118" s="29">
        <f>MAX(Inputs!$C$68*COS($B118)+Inputs!$B$68*ABS(SIN($B118)),Inputs!$C$69*COS($B118)+Inputs!$B$69*ABS(SIN($B118)),Inputs!$C$70*COS($B118)+Inputs!$B$70*ABS(SIN($B118)),Inputs!$C$71*COS($B118)+Inputs!$B$71*ABS(SIN($B118)),Inputs!$C$72*COS($B118)+Inputs!$B$72*ABS(SIN($B118)))</f>
        <v>202.9583234</v>
      </c>
      <c r="D118" s="108">
        <f>IF(C118&lt;=Inputs!$B$38,1,0)</f>
        <v>1</v>
      </c>
      <c r="E118" s="29">
        <f>Inputs!$B$11*COS(($B118))-Inputs!$B$7*SIN(($B118))</f>
        <v>155.0558806</v>
      </c>
      <c r="F118" s="29">
        <f>Inputs!$B$11*SIN(($B118))+Inputs!$B$7*COS(($B118))</f>
        <v>-158.574446</v>
      </c>
      <c r="G118" s="29">
        <f>SQRT((E118-Inputs!$B$5)^2+(F118-Inputs!$B$6)^2)</f>
        <v>275.4544062</v>
      </c>
      <c r="H118" s="29">
        <f>MAX(MAX(Inputs!$B$5,(Inputs!$B$5+(E118-Inputs!$B$5)*MIN(1,$B$16/G118)))+$B$7/2,MAX((Inputs!$B$5+(E118-Inputs!$B$5)*MIN(1,$B$16/G118)),E118)+Inputs!$B$41)</f>
        <v>291.8</v>
      </c>
      <c r="I118" s="29">
        <f>MIN(IF(OR(Inputs!$C$68=0,((((Inputs!$C$68*COS(($B118))+Inputs!$B$68*SIN(($B118)))-Inputs!$B$5)*(E118-Inputs!$B$5)+((Inputs!$C$68*SIN(($B118))-Inputs!$B$68*COS(($B118)))-Inputs!$B$6)*(F118-Inputs!$B$6))/G118)&lt;0,((((Inputs!$C$68*COS(($B118))+Inputs!$B$68*SIN(($B118)))-Inputs!$B$5)*(E118-Inputs!$B$5)+((Inputs!$C$68*SIN(($B118))-Inputs!$B$68*COS(($B118)))-Inputs!$B$6)*(F118-Inputs!$B$6))/G118)&gt;G118-Inputs!$B$40),999,(ABS((E118-Inputs!$B$5)*((Inputs!$C$68*SIN(($B118))-Inputs!$B$68*COS(($B118)))-Inputs!$B$6)-(F118-Inputs!$B$6)*((Inputs!$C$68*COS(($B118))+Inputs!$B$68*SIN(($B118)))-Inputs!$B$5))/G118)-IF(((((Inputs!$C$68*COS(($B118))+Inputs!$B$68*SIN(($B118)))-Inputs!$B$5)*(E118-Inputs!$B$5)+((Inputs!$C$68*SIN(($B118))-Inputs!$B$68*COS(($B118)))-Inputs!$B$6)*(F118-Inputs!$B$6))/G118)&lt;$B$16,$B$7/2,$B$8/2)-Inputs!$B$39),IF(OR(Inputs!$C$69=0,((((Inputs!$C$69*COS(($B118))+Inputs!$B$69*SIN(($B118)))-Inputs!$B$5)*(E118-Inputs!$B$5)+((Inputs!$C$69*SIN(($B118))-Inputs!$B$69*COS(($B118)))-Inputs!$B$6)*(F118-Inputs!$B$6))/G118)&lt;0,((((Inputs!$C$69*COS(($B118))+Inputs!$B$69*SIN(($B118)))-Inputs!$B$5)*(E118-Inputs!$B$5)+((Inputs!$C$69*SIN(($B118))-Inputs!$B$69*COS(($B118)))-Inputs!$B$6)*(F118-Inputs!$B$6))/G118)&gt;G118-Inputs!$B$40),999,(ABS((E118-Inputs!$B$5)*((Inputs!$C$69*SIN(($B118))-Inputs!$B$69*COS(($B118)))-Inputs!$B$6)-(F118-Inputs!$B$6)*((Inputs!$C$69*COS(($B118))+Inputs!$B$69*SIN(($B118)))-Inputs!$B$5))/G118)-IF(((((Inputs!$C$69*COS(($B118))+Inputs!$B$69*SIN(($B118)))-Inputs!$B$5)*(E118-Inputs!$B$5)+((Inputs!$C$69*SIN(($B118))-Inputs!$B$69*COS(($B118)))-Inputs!$B$6)*(F118-Inputs!$B$6))/G118)&lt;$B$16,$B$7/2,$B$8/2)-Inputs!$B$39),IF(OR(Inputs!$C$70=0,((((Inputs!$C$70*COS(($B118))+Inputs!$B$70*SIN(($B118)))-Inputs!$B$5)*(E118-Inputs!$B$5)+((Inputs!$C$70*SIN(($B118))-Inputs!$B$70*COS(($B118)))-Inputs!$B$6)*(F118-Inputs!$B$6))/G118)&lt;0,((((Inputs!$C$70*COS(($B118))+Inputs!$B$70*SIN(($B118)))-Inputs!$B$5)*(E118-Inputs!$B$5)+((Inputs!$C$70*SIN(($B118))-Inputs!$B$70*COS(($B118)))-Inputs!$B$6)*(F118-Inputs!$B$6))/G118)&gt;G118-Inputs!$B$40),999,(ABS((E118-Inputs!$B$5)*((Inputs!$C$70*SIN(($B118))-Inputs!$B$70*COS(($B118)))-Inputs!$B$6)-(F118-Inputs!$B$6)*((Inputs!$C$70*COS(($B118))+Inputs!$B$70*SIN(($B118)))-Inputs!$B$5))/G118)-IF(((((Inputs!$C$70*COS(($B118))+Inputs!$B$70*SIN(($B118)))-Inputs!$B$5)*(E118-Inputs!$B$5)+((Inputs!$C$70*SIN(($B118))-Inputs!$B$70*COS(($B118)))-Inputs!$B$6)*(F118-Inputs!$B$6))/G118)&lt;$B$16,$B$7/2,$B$8/2)-Inputs!$B$39),IF(OR(Inputs!$C$71=0,((((Inputs!$C$71*COS(($B118))+Inputs!$B$71*SIN(($B118)))-Inputs!$B$5)*(E118-Inputs!$B$5)+((Inputs!$C$71*SIN(($B118))-Inputs!$B$71*COS(($B118)))-Inputs!$B$6)*(F118-Inputs!$B$6))/G118)&lt;0,((((Inputs!$C$71*COS(($B118))+Inputs!$B$71*SIN(($B118)))-Inputs!$B$5)*(E118-Inputs!$B$5)+((Inputs!$C$71*SIN(($B118))-Inputs!$B$71*COS(($B118)))-Inputs!$B$6)*(F118-Inputs!$B$6))/G118)&gt;G118-Inputs!$B$40),999,(ABS((E118-Inputs!$B$5)*((Inputs!$C$71*SIN(($B118))-Inputs!$B$71*COS(($B118)))-Inputs!$B$6)-(F118-Inputs!$B$6)*((Inputs!$C$71*COS(($B118))+Inputs!$B$71*SIN(($B118)))-Inputs!$B$5))/G118)-IF(((((Inputs!$C$71*COS(($B118))+Inputs!$B$71*SIN(($B118)))-Inputs!$B$5)*(E118-Inputs!$B$5)+((Inputs!$C$71*SIN(($B118))-Inputs!$B$71*COS(($B118)))-Inputs!$B$6)*(F118-Inputs!$B$6))/G118)&lt;$B$16,$B$7/2,$B$8/2)-Inputs!$B$39),IF(OR(Inputs!$C$72=0,((((Inputs!$C$72*COS(($B118))+Inputs!$B$72*SIN(($B118)))-Inputs!$B$5)*(E118-Inputs!$B$5)+((Inputs!$C$72*SIN(($B118))-Inputs!$B$72*COS(($B118)))-Inputs!$B$6)*(F118-Inputs!$B$6))/G118)&lt;0,((((Inputs!$C$72*COS(($B118))+Inputs!$B$72*SIN(($B118)))-Inputs!$B$5)*(E118-Inputs!$B$5)+((Inputs!$C$72*SIN(($B118))-Inputs!$B$72*COS(($B118)))-Inputs!$B$6)*(F118-Inputs!$B$6))/G118)&gt;G118-Inputs!$B$40),999,(ABS((E118-Inputs!$B$5)*((Inputs!$C$72*SIN(($B118))-Inputs!$B$72*COS(($B118)))-Inputs!$B$6)-(F118-Inputs!$B$6)*((Inputs!$C$72*COS(($B118))+Inputs!$B$72*SIN(($B118)))-Inputs!$B$5))/G118)-IF(((((Inputs!$C$72*COS(($B118))+Inputs!$B$72*SIN(($B118)))-Inputs!$B$5)*(E118-Inputs!$B$5)+((Inputs!$C$72*SIN(($B118))-Inputs!$B$72*COS(($B118)))-Inputs!$B$6)*(F118-Inputs!$B$6))/G118)&lt;$B$16,$B$7/2,$B$8/2)-Inputs!$B$39))</f>
        <v>45.27509871</v>
      </c>
      <c r="J118" s="76">
        <f>IF(AND(G118&gt;=$B$14,G118&lt;=$B$15,H118&lt;=Inputs!$B$38,I118&gt;=0,$D118=1),1,0)</f>
        <v>0</v>
      </c>
      <c r="K118" s="29">
        <f>Inputs!$B$11*COS((-$B118))-Inputs!$B$7*SIN((-$B118))</f>
        <v>26.4800945</v>
      </c>
      <c r="L118" s="29">
        <f>Inputs!$B$11*SIN((-$B118))+Inputs!$B$7*COS((-$B118))</f>
        <v>-220.1976058</v>
      </c>
      <c r="M118" s="29">
        <f>SQRT((K118-Inputs!$B$5)^2+(L118-Inputs!$B$6)^2)</f>
        <v>390.4966772</v>
      </c>
      <c r="N118" s="29">
        <f>MAX(MAX(Inputs!$B$5,(Inputs!$B$5+(K118-Inputs!$B$5)*MIN(1,$B$16/M118)))+$B$7/2,MAX((Inputs!$B$5+(K118-Inputs!$B$5)*MIN(1,$B$16/M118)),K118)+Inputs!$B$41)</f>
        <v>291.8</v>
      </c>
      <c r="O118" s="29">
        <f>MIN(IF(OR(Inputs!$C$68=0,((((Inputs!$C$68*COS((-$B118))+Inputs!$B$68*SIN((-$B118)))-Inputs!$B$5)*(K118-Inputs!$B$5)+((Inputs!$C$68*SIN((-$B118))-Inputs!$B$68*COS((-$B118)))-Inputs!$B$6)*(L118-Inputs!$B$6))/M118)&lt;0,((((Inputs!$C$68*COS((-$B118))+Inputs!$B$68*SIN((-$B118)))-Inputs!$B$5)*(K118-Inputs!$B$5)+((Inputs!$C$68*SIN((-$B118))-Inputs!$B$68*COS((-$B118)))-Inputs!$B$6)*(L118-Inputs!$B$6))/M118)&gt;M118-Inputs!$B$40),999,(ABS((K118-Inputs!$B$5)*((Inputs!$C$68*SIN((-$B118))-Inputs!$B$68*COS((-$B118)))-Inputs!$B$6)-(L118-Inputs!$B$6)*((Inputs!$C$68*COS((-$B118))+Inputs!$B$68*SIN((-$B118)))-Inputs!$B$5))/M118)-IF(((((Inputs!$C$68*COS((-$B118))+Inputs!$B$68*SIN((-$B118)))-Inputs!$B$5)*(K118-Inputs!$B$5)+((Inputs!$C$68*SIN((-$B118))-Inputs!$B$68*COS((-$B118)))-Inputs!$B$6)*(L118-Inputs!$B$6))/M118)&lt;$B$16,$B$7/2,$B$8/2)-Inputs!$B$39),IF(OR(Inputs!$C$69=0,((((Inputs!$C$69*COS((-$B118))+Inputs!$B$69*SIN((-$B118)))-Inputs!$B$5)*(K118-Inputs!$B$5)+((Inputs!$C$69*SIN((-$B118))-Inputs!$B$69*COS((-$B118)))-Inputs!$B$6)*(L118-Inputs!$B$6))/M118)&lt;0,((((Inputs!$C$69*COS((-$B118))+Inputs!$B$69*SIN((-$B118)))-Inputs!$B$5)*(K118-Inputs!$B$5)+((Inputs!$C$69*SIN((-$B118))-Inputs!$B$69*COS((-$B118)))-Inputs!$B$6)*(L118-Inputs!$B$6))/M118)&gt;M118-Inputs!$B$40),999,(ABS((K118-Inputs!$B$5)*((Inputs!$C$69*SIN((-$B118))-Inputs!$B$69*COS((-$B118)))-Inputs!$B$6)-(L118-Inputs!$B$6)*((Inputs!$C$69*COS((-$B118))+Inputs!$B$69*SIN((-$B118)))-Inputs!$B$5))/M118)-IF(((((Inputs!$C$69*COS((-$B118))+Inputs!$B$69*SIN((-$B118)))-Inputs!$B$5)*(K118-Inputs!$B$5)+((Inputs!$C$69*SIN((-$B118))-Inputs!$B$69*COS((-$B118)))-Inputs!$B$6)*(L118-Inputs!$B$6))/M118)&lt;$B$16,$B$7/2,$B$8/2)-Inputs!$B$39),IF(OR(Inputs!$C$70=0,((((Inputs!$C$70*COS((-$B118))+Inputs!$B$70*SIN((-$B118)))-Inputs!$B$5)*(K118-Inputs!$B$5)+((Inputs!$C$70*SIN((-$B118))-Inputs!$B$70*COS((-$B118)))-Inputs!$B$6)*(L118-Inputs!$B$6))/M118)&lt;0,((((Inputs!$C$70*COS((-$B118))+Inputs!$B$70*SIN((-$B118)))-Inputs!$B$5)*(K118-Inputs!$B$5)+((Inputs!$C$70*SIN((-$B118))-Inputs!$B$70*COS((-$B118)))-Inputs!$B$6)*(L118-Inputs!$B$6))/M118)&gt;M118-Inputs!$B$40),999,(ABS((K118-Inputs!$B$5)*((Inputs!$C$70*SIN((-$B118))-Inputs!$B$70*COS((-$B118)))-Inputs!$B$6)-(L118-Inputs!$B$6)*((Inputs!$C$70*COS((-$B118))+Inputs!$B$70*SIN((-$B118)))-Inputs!$B$5))/M118)-IF(((((Inputs!$C$70*COS((-$B118))+Inputs!$B$70*SIN((-$B118)))-Inputs!$B$5)*(K118-Inputs!$B$5)+((Inputs!$C$70*SIN((-$B118))-Inputs!$B$70*COS((-$B118)))-Inputs!$B$6)*(L118-Inputs!$B$6))/M118)&lt;$B$16,$B$7/2,$B$8/2)-Inputs!$B$39),IF(OR(Inputs!$C$71=0,((((Inputs!$C$71*COS((-$B118))+Inputs!$B$71*SIN((-$B118)))-Inputs!$B$5)*(K118-Inputs!$B$5)+((Inputs!$C$71*SIN((-$B118))-Inputs!$B$71*COS((-$B118)))-Inputs!$B$6)*(L118-Inputs!$B$6))/M118)&lt;0,((((Inputs!$C$71*COS((-$B118))+Inputs!$B$71*SIN((-$B118)))-Inputs!$B$5)*(K118-Inputs!$B$5)+((Inputs!$C$71*SIN((-$B118))-Inputs!$B$71*COS((-$B118)))-Inputs!$B$6)*(L118-Inputs!$B$6))/M118)&gt;M118-Inputs!$B$40),999,(ABS((K118-Inputs!$B$5)*((Inputs!$C$71*SIN((-$B118))-Inputs!$B$71*COS((-$B118)))-Inputs!$B$6)-(L118-Inputs!$B$6)*((Inputs!$C$71*COS((-$B118))+Inputs!$B$71*SIN((-$B118)))-Inputs!$B$5))/M118)-IF(((((Inputs!$C$71*COS((-$B118))+Inputs!$B$71*SIN((-$B118)))-Inputs!$B$5)*(K118-Inputs!$B$5)+((Inputs!$C$71*SIN((-$B118))-Inputs!$B$71*COS((-$B118)))-Inputs!$B$6)*(L118-Inputs!$B$6))/M118)&lt;$B$16,$B$7/2,$B$8/2)-Inputs!$B$39),IF(OR(Inputs!$C$72=0,((((Inputs!$C$72*COS((-$B118))+Inputs!$B$72*SIN((-$B118)))-Inputs!$B$5)*(K118-Inputs!$B$5)+((Inputs!$C$72*SIN((-$B118))-Inputs!$B$72*COS((-$B118)))-Inputs!$B$6)*(L118-Inputs!$B$6))/M118)&lt;0,((((Inputs!$C$72*COS((-$B118))+Inputs!$B$72*SIN((-$B118)))-Inputs!$B$5)*(K118-Inputs!$B$5)+((Inputs!$C$72*SIN((-$B118))-Inputs!$B$72*COS((-$B118)))-Inputs!$B$6)*(L118-Inputs!$B$6))/M118)&gt;M118-Inputs!$B$40),999,(ABS((K118-Inputs!$B$5)*((Inputs!$C$72*SIN((-$B118))-Inputs!$B$72*COS((-$B118)))-Inputs!$B$6)-(L118-Inputs!$B$6)*((Inputs!$C$72*COS((-$B118))+Inputs!$B$72*SIN((-$B118)))-Inputs!$B$5))/M118)-IF(((((Inputs!$C$72*COS((-$B118))+Inputs!$B$72*SIN((-$B118)))-Inputs!$B$5)*(K118-Inputs!$B$5)+((Inputs!$C$72*SIN((-$B118))-Inputs!$B$72*COS((-$B118)))-Inputs!$B$6)*(L118-Inputs!$B$6))/M118)&lt;$B$16,$B$7/2,$B$8/2)-Inputs!$B$39))</f>
        <v>27.59785921</v>
      </c>
      <c r="P118" s="76">
        <f>IF(AND(M118&gt;=$B$14,M118&lt;=$B$15,N118&lt;=Inputs!$B$38,O118&gt;=0,$D118=1),1,0)</f>
        <v>0</v>
      </c>
    </row>
    <row r="119" ht="15.75" customHeight="1">
      <c r="A119" s="23">
        <v>19.0</v>
      </c>
      <c r="B119" s="40">
        <f t="shared" si="4"/>
        <v>0.3316125579</v>
      </c>
      <c r="C119" s="29">
        <f>MAX(Inputs!$C$68*COS($B119)+Inputs!$B$68*ABS(SIN($B119)),Inputs!$C$69*COS($B119)+Inputs!$B$69*ABS(SIN($B119)),Inputs!$C$70*COS($B119)+Inputs!$B$70*ABS(SIN($B119)),Inputs!$C$71*COS($B119)+Inputs!$B$71*ABS(SIN($B119)),Inputs!$C$72*COS($B119)+Inputs!$B$72*ABS(SIN($B119)))</f>
        <v>204.4928282</v>
      </c>
      <c r="D119" s="108">
        <f>IF(C119&lt;=Inputs!$B$38,1,0)</f>
        <v>1</v>
      </c>
      <c r="E119" s="29">
        <f>Inputs!$B$11*COS(($B119))-Inputs!$B$7*SIN(($B119))</f>
        <v>155.746314</v>
      </c>
      <c r="F119" s="29">
        <f>Inputs!$B$11*SIN(($B119))+Inputs!$B$7*COS(($B119))</f>
        <v>-157.8963797</v>
      </c>
      <c r="G119" s="29">
        <f>SQRT((E119-Inputs!$B$5)^2+(F119-Inputs!$B$6)^2)</f>
        <v>274.580225</v>
      </c>
      <c r="H119" s="29">
        <f>MAX(MAX(Inputs!$B$5,(Inputs!$B$5+(E119-Inputs!$B$5)*MIN(1,$B$16/G119)))+$B$7/2,MAX((Inputs!$B$5+(E119-Inputs!$B$5)*MIN(1,$B$16/G119)),E119)+Inputs!$B$41)</f>
        <v>291.8</v>
      </c>
      <c r="I119" s="29">
        <f>MIN(IF(OR(Inputs!$C$68=0,((((Inputs!$C$68*COS(($B119))+Inputs!$B$68*SIN(($B119)))-Inputs!$B$5)*(E119-Inputs!$B$5)+((Inputs!$C$68*SIN(($B119))-Inputs!$B$68*COS(($B119)))-Inputs!$B$6)*(F119-Inputs!$B$6))/G119)&lt;0,((((Inputs!$C$68*COS(($B119))+Inputs!$B$68*SIN(($B119)))-Inputs!$B$5)*(E119-Inputs!$B$5)+((Inputs!$C$68*SIN(($B119))-Inputs!$B$68*COS(($B119)))-Inputs!$B$6)*(F119-Inputs!$B$6))/G119)&gt;G119-Inputs!$B$40),999,(ABS((E119-Inputs!$B$5)*((Inputs!$C$68*SIN(($B119))-Inputs!$B$68*COS(($B119)))-Inputs!$B$6)-(F119-Inputs!$B$6)*((Inputs!$C$68*COS(($B119))+Inputs!$B$68*SIN(($B119)))-Inputs!$B$5))/G119)-IF(((((Inputs!$C$68*COS(($B119))+Inputs!$B$68*SIN(($B119)))-Inputs!$B$5)*(E119-Inputs!$B$5)+((Inputs!$C$68*SIN(($B119))-Inputs!$B$68*COS(($B119)))-Inputs!$B$6)*(F119-Inputs!$B$6))/G119)&lt;$B$16,$B$7/2,$B$8/2)-Inputs!$B$39),IF(OR(Inputs!$C$69=0,((((Inputs!$C$69*COS(($B119))+Inputs!$B$69*SIN(($B119)))-Inputs!$B$5)*(E119-Inputs!$B$5)+((Inputs!$C$69*SIN(($B119))-Inputs!$B$69*COS(($B119)))-Inputs!$B$6)*(F119-Inputs!$B$6))/G119)&lt;0,((((Inputs!$C$69*COS(($B119))+Inputs!$B$69*SIN(($B119)))-Inputs!$B$5)*(E119-Inputs!$B$5)+((Inputs!$C$69*SIN(($B119))-Inputs!$B$69*COS(($B119)))-Inputs!$B$6)*(F119-Inputs!$B$6))/G119)&gt;G119-Inputs!$B$40),999,(ABS((E119-Inputs!$B$5)*((Inputs!$C$69*SIN(($B119))-Inputs!$B$69*COS(($B119)))-Inputs!$B$6)-(F119-Inputs!$B$6)*((Inputs!$C$69*COS(($B119))+Inputs!$B$69*SIN(($B119)))-Inputs!$B$5))/G119)-IF(((((Inputs!$C$69*COS(($B119))+Inputs!$B$69*SIN(($B119)))-Inputs!$B$5)*(E119-Inputs!$B$5)+((Inputs!$C$69*SIN(($B119))-Inputs!$B$69*COS(($B119)))-Inputs!$B$6)*(F119-Inputs!$B$6))/G119)&lt;$B$16,$B$7/2,$B$8/2)-Inputs!$B$39),IF(OR(Inputs!$C$70=0,((((Inputs!$C$70*COS(($B119))+Inputs!$B$70*SIN(($B119)))-Inputs!$B$5)*(E119-Inputs!$B$5)+((Inputs!$C$70*SIN(($B119))-Inputs!$B$70*COS(($B119)))-Inputs!$B$6)*(F119-Inputs!$B$6))/G119)&lt;0,((((Inputs!$C$70*COS(($B119))+Inputs!$B$70*SIN(($B119)))-Inputs!$B$5)*(E119-Inputs!$B$5)+((Inputs!$C$70*SIN(($B119))-Inputs!$B$70*COS(($B119)))-Inputs!$B$6)*(F119-Inputs!$B$6))/G119)&gt;G119-Inputs!$B$40),999,(ABS((E119-Inputs!$B$5)*((Inputs!$C$70*SIN(($B119))-Inputs!$B$70*COS(($B119)))-Inputs!$B$6)-(F119-Inputs!$B$6)*((Inputs!$C$70*COS(($B119))+Inputs!$B$70*SIN(($B119)))-Inputs!$B$5))/G119)-IF(((((Inputs!$C$70*COS(($B119))+Inputs!$B$70*SIN(($B119)))-Inputs!$B$5)*(E119-Inputs!$B$5)+((Inputs!$C$70*SIN(($B119))-Inputs!$B$70*COS(($B119)))-Inputs!$B$6)*(F119-Inputs!$B$6))/G119)&lt;$B$16,$B$7/2,$B$8/2)-Inputs!$B$39),IF(OR(Inputs!$C$71=0,((((Inputs!$C$71*COS(($B119))+Inputs!$B$71*SIN(($B119)))-Inputs!$B$5)*(E119-Inputs!$B$5)+((Inputs!$C$71*SIN(($B119))-Inputs!$B$71*COS(($B119)))-Inputs!$B$6)*(F119-Inputs!$B$6))/G119)&lt;0,((((Inputs!$C$71*COS(($B119))+Inputs!$B$71*SIN(($B119)))-Inputs!$B$5)*(E119-Inputs!$B$5)+((Inputs!$C$71*SIN(($B119))-Inputs!$B$71*COS(($B119)))-Inputs!$B$6)*(F119-Inputs!$B$6))/G119)&gt;G119-Inputs!$B$40),999,(ABS((E119-Inputs!$B$5)*((Inputs!$C$71*SIN(($B119))-Inputs!$B$71*COS(($B119)))-Inputs!$B$6)-(F119-Inputs!$B$6)*((Inputs!$C$71*COS(($B119))+Inputs!$B$71*SIN(($B119)))-Inputs!$B$5))/G119)-IF(((((Inputs!$C$71*COS(($B119))+Inputs!$B$71*SIN(($B119)))-Inputs!$B$5)*(E119-Inputs!$B$5)+((Inputs!$C$71*SIN(($B119))-Inputs!$B$71*COS(($B119)))-Inputs!$B$6)*(F119-Inputs!$B$6))/G119)&lt;$B$16,$B$7/2,$B$8/2)-Inputs!$B$39),IF(OR(Inputs!$C$72=0,((((Inputs!$C$72*COS(($B119))+Inputs!$B$72*SIN(($B119)))-Inputs!$B$5)*(E119-Inputs!$B$5)+((Inputs!$C$72*SIN(($B119))-Inputs!$B$72*COS(($B119)))-Inputs!$B$6)*(F119-Inputs!$B$6))/G119)&lt;0,((((Inputs!$C$72*COS(($B119))+Inputs!$B$72*SIN(($B119)))-Inputs!$B$5)*(E119-Inputs!$B$5)+((Inputs!$C$72*SIN(($B119))-Inputs!$B$72*COS(($B119)))-Inputs!$B$6)*(F119-Inputs!$B$6))/G119)&gt;G119-Inputs!$B$40),999,(ABS((E119-Inputs!$B$5)*((Inputs!$C$72*SIN(($B119))-Inputs!$B$72*COS(($B119)))-Inputs!$B$6)-(F119-Inputs!$B$6)*((Inputs!$C$72*COS(($B119))+Inputs!$B$72*SIN(($B119)))-Inputs!$B$5))/G119)-IF(((((Inputs!$C$72*COS(($B119))+Inputs!$B$72*SIN(($B119)))-Inputs!$B$5)*(E119-Inputs!$B$5)+((Inputs!$C$72*SIN(($B119))-Inputs!$B$72*COS(($B119)))-Inputs!$B$6)*(F119-Inputs!$B$6))/G119)&lt;$B$16,$B$7/2,$B$8/2)-Inputs!$B$39))</f>
        <v>45.45233924</v>
      </c>
      <c r="J119" s="76">
        <f>IF(AND(G119&gt;=$B$14,G119&lt;=$B$15,H119&lt;=Inputs!$B$38,I119&gt;=0,$D119=1),1,0)</f>
        <v>0</v>
      </c>
      <c r="K119" s="29">
        <f>Inputs!$B$11*COS((-$B119))-Inputs!$B$7*SIN((-$B119))</f>
        <v>25.51905217</v>
      </c>
      <c r="L119" s="29">
        <f>Inputs!$B$11*SIN((-$B119))+Inputs!$B$7*COS((-$B119))</f>
        <v>-220.3110506</v>
      </c>
      <c r="M119" s="29">
        <f>SQRT((K119-Inputs!$B$5)^2+(L119-Inputs!$B$6)^2)</f>
        <v>391.1404672</v>
      </c>
      <c r="N119" s="29">
        <f>MAX(MAX(Inputs!$B$5,(Inputs!$B$5+(K119-Inputs!$B$5)*MIN(1,$B$16/M119)))+$B$7/2,MAX((Inputs!$B$5+(K119-Inputs!$B$5)*MIN(1,$B$16/M119)),K119)+Inputs!$B$41)</f>
        <v>291.8</v>
      </c>
      <c r="O119" s="29">
        <f>MIN(IF(OR(Inputs!$C$68=0,((((Inputs!$C$68*COS((-$B119))+Inputs!$B$68*SIN((-$B119)))-Inputs!$B$5)*(K119-Inputs!$B$5)+((Inputs!$C$68*SIN((-$B119))-Inputs!$B$68*COS((-$B119)))-Inputs!$B$6)*(L119-Inputs!$B$6))/M119)&lt;0,((((Inputs!$C$68*COS((-$B119))+Inputs!$B$68*SIN((-$B119)))-Inputs!$B$5)*(K119-Inputs!$B$5)+((Inputs!$C$68*SIN((-$B119))-Inputs!$B$68*COS((-$B119)))-Inputs!$B$6)*(L119-Inputs!$B$6))/M119)&gt;M119-Inputs!$B$40),999,(ABS((K119-Inputs!$B$5)*((Inputs!$C$68*SIN((-$B119))-Inputs!$B$68*COS((-$B119)))-Inputs!$B$6)-(L119-Inputs!$B$6)*((Inputs!$C$68*COS((-$B119))+Inputs!$B$68*SIN((-$B119)))-Inputs!$B$5))/M119)-IF(((((Inputs!$C$68*COS((-$B119))+Inputs!$B$68*SIN((-$B119)))-Inputs!$B$5)*(K119-Inputs!$B$5)+((Inputs!$C$68*SIN((-$B119))-Inputs!$B$68*COS((-$B119)))-Inputs!$B$6)*(L119-Inputs!$B$6))/M119)&lt;$B$16,$B$7/2,$B$8/2)-Inputs!$B$39),IF(OR(Inputs!$C$69=0,((((Inputs!$C$69*COS((-$B119))+Inputs!$B$69*SIN((-$B119)))-Inputs!$B$5)*(K119-Inputs!$B$5)+((Inputs!$C$69*SIN((-$B119))-Inputs!$B$69*COS((-$B119)))-Inputs!$B$6)*(L119-Inputs!$B$6))/M119)&lt;0,((((Inputs!$C$69*COS((-$B119))+Inputs!$B$69*SIN((-$B119)))-Inputs!$B$5)*(K119-Inputs!$B$5)+((Inputs!$C$69*SIN((-$B119))-Inputs!$B$69*COS((-$B119)))-Inputs!$B$6)*(L119-Inputs!$B$6))/M119)&gt;M119-Inputs!$B$40),999,(ABS((K119-Inputs!$B$5)*((Inputs!$C$69*SIN((-$B119))-Inputs!$B$69*COS((-$B119)))-Inputs!$B$6)-(L119-Inputs!$B$6)*((Inputs!$C$69*COS((-$B119))+Inputs!$B$69*SIN((-$B119)))-Inputs!$B$5))/M119)-IF(((((Inputs!$C$69*COS((-$B119))+Inputs!$B$69*SIN((-$B119)))-Inputs!$B$5)*(K119-Inputs!$B$5)+((Inputs!$C$69*SIN((-$B119))-Inputs!$B$69*COS((-$B119)))-Inputs!$B$6)*(L119-Inputs!$B$6))/M119)&lt;$B$16,$B$7/2,$B$8/2)-Inputs!$B$39),IF(OR(Inputs!$C$70=0,((((Inputs!$C$70*COS((-$B119))+Inputs!$B$70*SIN((-$B119)))-Inputs!$B$5)*(K119-Inputs!$B$5)+((Inputs!$C$70*SIN((-$B119))-Inputs!$B$70*COS((-$B119)))-Inputs!$B$6)*(L119-Inputs!$B$6))/M119)&lt;0,((((Inputs!$C$70*COS((-$B119))+Inputs!$B$70*SIN((-$B119)))-Inputs!$B$5)*(K119-Inputs!$B$5)+((Inputs!$C$70*SIN((-$B119))-Inputs!$B$70*COS((-$B119)))-Inputs!$B$6)*(L119-Inputs!$B$6))/M119)&gt;M119-Inputs!$B$40),999,(ABS((K119-Inputs!$B$5)*((Inputs!$C$70*SIN((-$B119))-Inputs!$B$70*COS((-$B119)))-Inputs!$B$6)-(L119-Inputs!$B$6)*((Inputs!$C$70*COS((-$B119))+Inputs!$B$70*SIN((-$B119)))-Inputs!$B$5))/M119)-IF(((((Inputs!$C$70*COS((-$B119))+Inputs!$B$70*SIN((-$B119)))-Inputs!$B$5)*(K119-Inputs!$B$5)+((Inputs!$C$70*SIN((-$B119))-Inputs!$B$70*COS((-$B119)))-Inputs!$B$6)*(L119-Inputs!$B$6))/M119)&lt;$B$16,$B$7/2,$B$8/2)-Inputs!$B$39),IF(OR(Inputs!$C$71=0,((((Inputs!$C$71*COS((-$B119))+Inputs!$B$71*SIN((-$B119)))-Inputs!$B$5)*(K119-Inputs!$B$5)+((Inputs!$C$71*SIN((-$B119))-Inputs!$B$71*COS((-$B119)))-Inputs!$B$6)*(L119-Inputs!$B$6))/M119)&lt;0,((((Inputs!$C$71*COS((-$B119))+Inputs!$B$71*SIN((-$B119)))-Inputs!$B$5)*(K119-Inputs!$B$5)+((Inputs!$C$71*SIN((-$B119))-Inputs!$B$71*COS((-$B119)))-Inputs!$B$6)*(L119-Inputs!$B$6))/M119)&gt;M119-Inputs!$B$40),999,(ABS((K119-Inputs!$B$5)*((Inputs!$C$71*SIN((-$B119))-Inputs!$B$71*COS((-$B119)))-Inputs!$B$6)-(L119-Inputs!$B$6)*((Inputs!$C$71*COS((-$B119))+Inputs!$B$71*SIN((-$B119)))-Inputs!$B$5))/M119)-IF(((((Inputs!$C$71*COS((-$B119))+Inputs!$B$71*SIN((-$B119)))-Inputs!$B$5)*(K119-Inputs!$B$5)+((Inputs!$C$71*SIN((-$B119))-Inputs!$B$71*COS((-$B119)))-Inputs!$B$6)*(L119-Inputs!$B$6))/M119)&lt;$B$16,$B$7/2,$B$8/2)-Inputs!$B$39),IF(OR(Inputs!$C$72=0,((((Inputs!$C$72*COS((-$B119))+Inputs!$B$72*SIN((-$B119)))-Inputs!$B$5)*(K119-Inputs!$B$5)+((Inputs!$C$72*SIN((-$B119))-Inputs!$B$72*COS((-$B119)))-Inputs!$B$6)*(L119-Inputs!$B$6))/M119)&lt;0,((((Inputs!$C$72*COS((-$B119))+Inputs!$B$72*SIN((-$B119)))-Inputs!$B$5)*(K119-Inputs!$B$5)+((Inputs!$C$72*SIN((-$B119))-Inputs!$B$72*COS((-$B119)))-Inputs!$B$6)*(L119-Inputs!$B$6))/M119)&gt;M119-Inputs!$B$40),999,(ABS((K119-Inputs!$B$5)*((Inputs!$C$72*SIN((-$B119))-Inputs!$B$72*COS((-$B119)))-Inputs!$B$6)-(L119-Inputs!$B$6)*((Inputs!$C$72*COS((-$B119))+Inputs!$B$72*SIN((-$B119)))-Inputs!$B$5))/M119)-IF(((((Inputs!$C$72*COS((-$B119))+Inputs!$B$72*SIN((-$B119)))-Inputs!$B$5)*(K119-Inputs!$B$5)+((Inputs!$C$72*SIN((-$B119))-Inputs!$B$72*COS((-$B119)))-Inputs!$B$6)*(L119-Inputs!$B$6))/M119)&lt;$B$16,$B$7/2,$B$8/2)-Inputs!$B$39))</f>
        <v>27.26445903</v>
      </c>
      <c r="P119" s="76">
        <f>IF(AND(M119&gt;=$B$14,M119&lt;=$B$15,N119&lt;=Inputs!$B$38,O119&gt;=0,$D119=1),1,0)</f>
        <v>0</v>
      </c>
    </row>
    <row r="120" ht="15.75" customHeight="1">
      <c r="A120" s="23">
        <v>19.25</v>
      </c>
      <c r="B120" s="40">
        <f t="shared" si="4"/>
        <v>0.335975881</v>
      </c>
      <c r="C120" s="29">
        <f>MAX(Inputs!$C$68*COS($B120)+Inputs!$B$68*ABS(SIN($B120)),Inputs!$C$69*COS($B120)+Inputs!$B$69*ABS(SIN($B120)),Inputs!$C$70*COS($B120)+Inputs!$B$70*ABS(SIN($B120)),Inputs!$C$71*COS($B120)+Inputs!$B$71*ABS(SIN($B120)),Inputs!$C$72*COS($B120)+Inputs!$B$72*ABS(SIN($B120)))</f>
        <v>206.0234397</v>
      </c>
      <c r="D120" s="108">
        <f>IF(C120&lt;=Inputs!$B$38,1,0)</f>
        <v>1</v>
      </c>
      <c r="E120" s="29">
        <f>Inputs!$B$11*COS(($B120))-Inputs!$B$7*SIN(($B120))</f>
        <v>156.4337821</v>
      </c>
      <c r="F120" s="29">
        <f>Inputs!$B$11*SIN(($B120))+Inputs!$B$7*COS(($B120))</f>
        <v>-157.2153073</v>
      </c>
      <c r="G120" s="29">
        <f>SQRT((E120-Inputs!$B$5)^2+(F120-Inputs!$B$6)^2)</f>
        <v>273.7048619</v>
      </c>
      <c r="H120" s="29">
        <f>MAX(MAX(Inputs!$B$5,(Inputs!$B$5+(E120-Inputs!$B$5)*MIN(1,$B$16/G120)))+$B$7/2,MAX((Inputs!$B$5+(E120-Inputs!$B$5)*MIN(1,$B$16/G120)),E120)+Inputs!$B$41)</f>
        <v>291.8</v>
      </c>
      <c r="I120" s="29">
        <f>MIN(IF(OR(Inputs!$C$68=0,((((Inputs!$C$68*COS(($B120))+Inputs!$B$68*SIN(($B120)))-Inputs!$B$5)*(E120-Inputs!$B$5)+((Inputs!$C$68*SIN(($B120))-Inputs!$B$68*COS(($B120)))-Inputs!$B$6)*(F120-Inputs!$B$6))/G120)&lt;0,((((Inputs!$C$68*COS(($B120))+Inputs!$B$68*SIN(($B120)))-Inputs!$B$5)*(E120-Inputs!$B$5)+((Inputs!$C$68*SIN(($B120))-Inputs!$B$68*COS(($B120)))-Inputs!$B$6)*(F120-Inputs!$B$6))/G120)&gt;G120-Inputs!$B$40),999,(ABS((E120-Inputs!$B$5)*((Inputs!$C$68*SIN(($B120))-Inputs!$B$68*COS(($B120)))-Inputs!$B$6)-(F120-Inputs!$B$6)*((Inputs!$C$68*COS(($B120))+Inputs!$B$68*SIN(($B120)))-Inputs!$B$5))/G120)-IF(((((Inputs!$C$68*COS(($B120))+Inputs!$B$68*SIN(($B120)))-Inputs!$B$5)*(E120-Inputs!$B$5)+((Inputs!$C$68*SIN(($B120))-Inputs!$B$68*COS(($B120)))-Inputs!$B$6)*(F120-Inputs!$B$6))/G120)&lt;$B$16,$B$7/2,$B$8/2)-Inputs!$B$39),IF(OR(Inputs!$C$69=0,((((Inputs!$C$69*COS(($B120))+Inputs!$B$69*SIN(($B120)))-Inputs!$B$5)*(E120-Inputs!$B$5)+((Inputs!$C$69*SIN(($B120))-Inputs!$B$69*COS(($B120)))-Inputs!$B$6)*(F120-Inputs!$B$6))/G120)&lt;0,((((Inputs!$C$69*COS(($B120))+Inputs!$B$69*SIN(($B120)))-Inputs!$B$5)*(E120-Inputs!$B$5)+((Inputs!$C$69*SIN(($B120))-Inputs!$B$69*COS(($B120)))-Inputs!$B$6)*(F120-Inputs!$B$6))/G120)&gt;G120-Inputs!$B$40),999,(ABS((E120-Inputs!$B$5)*((Inputs!$C$69*SIN(($B120))-Inputs!$B$69*COS(($B120)))-Inputs!$B$6)-(F120-Inputs!$B$6)*((Inputs!$C$69*COS(($B120))+Inputs!$B$69*SIN(($B120)))-Inputs!$B$5))/G120)-IF(((((Inputs!$C$69*COS(($B120))+Inputs!$B$69*SIN(($B120)))-Inputs!$B$5)*(E120-Inputs!$B$5)+((Inputs!$C$69*SIN(($B120))-Inputs!$B$69*COS(($B120)))-Inputs!$B$6)*(F120-Inputs!$B$6))/G120)&lt;$B$16,$B$7/2,$B$8/2)-Inputs!$B$39),IF(OR(Inputs!$C$70=0,((((Inputs!$C$70*COS(($B120))+Inputs!$B$70*SIN(($B120)))-Inputs!$B$5)*(E120-Inputs!$B$5)+((Inputs!$C$70*SIN(($B120))-Inputs!$B$70*COS(($B120)))-Inputs!$B$6)*(F120-Inputs!$B$6))/G120)&lt;0,((((Inputs!$C$70*COS(($B120))+Inputs!$B$70*SIN(($B120)))-Inputs!$B$5)*(E120-Inputs!$B$5)+((Inputs!$C$70*SIN(($B120))-Inputs!$B$70*COS(($B120)))-Inputs!$B$6)*(F120-Inputs!$B$6))/G120)&gt;G120-Inputs!$B$40),999,(ABS((E120-Inputs!$B$5)*((Inputs!$C$70*SIN(($B120))-Inputs!$B$70*COS(($B120)))-Inputs!$B$6)-(F120-Inputs!$B$6)*((Inputs!$C$70*COS(($B120))+Inputs!$B$70*SIN(($B120)))-Inputs!$B$5))/G120)-IF(((((Inputs!$C$70*COS(($B120))+Inputs!$B$70*SIN(($B120)))-Inputs!$B$5)*(E120-Inputs!$B$5)+((Inputs!$C$70*SIN(($B120))-Inputs!$B$70*COS(($B120)))-Inputs!$B$6)*(F120-Inputs!$B$6))/G120)&lt;$B$16,$B$7/2,$B$8/2)-Inputs!$B$39),IF(OR(Inputs!$C$71=0,((((Inputs!$C$71*COS(($B120))+Inputs!$B$71*SIN(($B120)))-Inputs!$B$5)*(E120-Inputs!$B$5)+((Inputs!$C$71*SIN(($B120))-Inputs!$B$71*COS(($B120)))-Inputs!$B$6)*(F120-Inputs!$B$6))/G120)&lt;0,((((Inputs!$C$71*COS(($B120))+Inputs!$B$71*SIN(($B120)))-Inputs!$B$5)*(E120-Inputs!$B$5)+((Inputs!$C$71*SIN(($B120))-Inputs!$B$71*COS(($B120)))-Inputs!$B$6)*(F120-Inputs!$B$6))/G120)&gt;G120-Inputs!$B$40),999,(ABS((E120-Inputs!$B$5)*((Inputs!$C$71*SIN(($B120))-Inputs!$B$71*COS(($B120)))-Inputs!$B$6)-(F120-Inputs!$B$6)*((Inputs!$C$71*COS(($B120))+Inputs!$B$71*SIN(($B120)))-Inputs!$B$5))/G120)-IF(((((Inputs!$C$71*COS(($B120))+Inputs!$B$71*SIN(($B120)))-Inputs!$B$5)*(E120-Inputs!$B$5)+((Inputs!$C$71*SIN(($B120))-Inputs!$B$71*COS(($B120)))-Inputs!$B$6)*(F120-Inputs!$B$6))/G120)&lt;$B$16,$B$7/2,$B$8/2)-Inputs!$B$39),IF(OR(Inputs!$C$72=0,((((Inputs!$C$72*COS(($B120))+Inputs!$B$72*SIN(($B120)))-Inputs!$B$5)*(E120-Inputs!$B$5)+((Inputs!$C$72*SIN(($B120))-Inputs!$B$72*COS(($B120)))-Inputs!$B$6)*(F120-Inputs!$B$6))/G120)&lt;0,((((Inputs!$C$72*COS(($B120))+Inputs!$B$72*SIN(($B120)))-Inputs!$B$5)*(E120-Inputs!$B$5)+((Inputs!$C$72*SIN(($B120))-Inputs!$B$72*COS(($B120)))-Inputs!$B$6)*(F120-Inputs!$B$6))/G120)&gt;G120-Inputs!$B$40),999,(ABS((E120-Inputs!$B$5)*((Inputs!$C$72*SIN(($B120))-Inputs!$B$72*COS(($B120)))-Inputs!$B$6)-(F120-Inputs!$B$6)*((Inputs!$C$72*COS(($B120))+Inputs!$B$72*SIN(($B120)))-Inputs!$B$5))/G120)-IF(((((Inputs!$C$72*COS(($B120))+Inputs!$B$72*SIN(($B120)))-Inputs!$B$5)*(E120-Inputs!$B$5)+((Inputs!$C$72*SIN(($B120))-Inputs!$B$72*COS(($B120)))-Inputs!$B$6)*(F120-Inputs!$B$6))/G120)&lt;$B$16,$B$7/2,$B$8/2)-Inputs!$B$39))</f>
        <v>45.62910985</v>
      </c>
      <c r="J120" s="76">
        <f>IF(AND(G120&gt;=$B$14,G120&lt;=$B$15,H120&lt;=Inputs!$B$38,I120&gt;=0,$D120=1),1,0)</f>
        <v>0</v>
      </c>
      <c r="K120" s="29">
        <f>Inputs!$B$11*COS((-$B120))-Inputs!$B$7*SIN((-$B120))</f>
        <v>24.557524</v>
      </c>
      <c r="L120" s="29">
        <f>Inputs!$B$11*SIN((-$B120))+Inputs!$B$7*COS((-$B120))</f>
        <v>-220.4203009</v>
      </c>
      <c r="M120" s="29">
        <f>SQRT((K120-Inputs!$B$5)^2+(L120-Inputs!$B$6)^2)</f>
        <v>391.7824386</v>
      </c>
      <c r="N120" s="29">
        <f>MAX(MAX(Inputs!$B$5,(Inputs!$B$5+(K120-Inputs!$B$5)*MIN(1,$B$16/M120)))+$B$7/2,MAX((Inputs!$B$5+(K120-Inputs!$B$5)*MIN(1,$B$16/M120)),K120)+Inputs!$B$41)</f>
        <v>291.8</v>
      </c>
      <c r="O120" s="29">
        <f>MIN(IF(OR(Inputs!$C$68=0,((((Inputs!$C$68*COS((-$B120))+Inputs!$B$68*SIN((-$B120)))-Inputs!$B$5)*(K120-Inputs!$B$5)+((Inputs!$C$68*SIN((-$B120))-Inputs!$B$68*COS((-$B120)))-Inputs!$B$6)*(L120-Inputs!$B$6))/M120)&lt;0,((((Inputs!$C$68*COS((-$B120))+Inputs!$B$68*SIN((-$B120)))-Inputs!$B$5)*(K120-Inputs!$B$5)+((Inputs!$C$68*SIN((-$B120))-Inputs!$B$68*COS((-$B120)))-Inputs!$B$6)*(L120-Inputs!$B$6))/M120)&gt;M120-Inputs!$B$40),999,(ABS((K120-Inputs!$B$5)*((Inputs!$C$68*SIN((-$B120))-Inputs!$B$68*COS((-$B120)))-Inputs!$B$6)-(L120-Inputs!$B$6)*((Inputs!$C$68*COS((-$B120))+Inputs!$B$68*SIN((-$B120)))-Inputs!$B$5))/M120)-IF(((((Inputs!$C$68*COS((-$B120))+Inputs!$B$68*SIN((-$B120)))-Inputs!$B$5)*(K120-Inputs!$B$5)+((Inputs!$C$68*SIN((-$B120))-Inputs!$B$68*COS((-$B120)))-Inputs!$B$6)*(L120-Inputs!$B$6))/M120)&lt;$B$16,$B$7/2,$B$8/2)-Inputs!$B$39),IF(OR(Inputs!$C$69=0,((((Inputs!$C$69*COS((-$B120))+Inputs!$B$69*SIN((-$B120)))-Inputs!$B$5)*(K120-Inputs!$B$5)+((Inputs!$C$69*SIN((-$B120))-Inputs!$B$69*COS((-$B120)))-Inputs!$B$6)*(L120-Inputs!$B$6))/M120)&lt;0,((((Inputs!$C$69*COS((-$B120))+Inputs!$B$69*SIN((-$B120)))-Inputs!$B$5)*(K120-Inputs!$B$5)+((Inputs!$C$69*SIN((-$B120))-Inputs!$B$69*COS((-$B120)))-Inputs!$B$6)*(L120-Inputs!$B$6))/M120)&gt;M120-Inputs!$B$40),999,(ABS((K120-Inputs!$B$5)*((Inputs!$C$69*SIN((-$B120))-Inputs!$B$69*COS((-$B120)))-Inputs!$B$6)-(L120-Inputs!$B$6)*((Inputs!$C$69*COS((-$B120))+Inputs!$B$69*SIN((-$B120)))-Inputs!$B$5))/M120)-IF(((((Inputs!$C$69*COS((-$B120))+Inputs!$B$69*SIN((-$B120)))-Inputs!$B$5)*(K120-Inputs!$B$5)+((Inputs!$C$69*SIN((-$B120))-Inputs!$B$69*COS((-$B120)))-Inputs!$B$6)*(L120-Inputs!$B$6))/M120)&lt;$B$16,$B$7/2,$B$8/2)-Inputs!$B$39),IF(OR(Inputs!$C$70=0,((((Inputs!$C$70*COS((-$B120))+Inputs!$B$70*SIN((-$B120)))-Inputs!$B$5)*(K120-Inputs!$B$5)+((Inputs!$C$70*SIN((-$B120))-Inputs!$B$70*COS((-$B120)))-Inputs!$B$6)*(L120-Inputs!$B$6))/M120)&lt;0,((((Inputs!$C$70*COS((-$B120))+Inputs!$B$70*SIN((-$B120)))-Inputs!$B$5)*(K120-Inputs!$B$5)+((Inputs!$C$70*SIN((-$B120))-Inputs!$B$70*COS((-$B120)))-Inputs!$B$6)*(L120-Inputs!$B$6))/M120)&gt;M120-Inputs!$B$40),999,(ABS((K120-Inputs!$B$5)*((Inputs!$C$70*SIN((-$B120))-Inputs!$B$70*COS((-$B120)))-Inputs!$B$6)-(L120-Inputs!$B$6)*((Inputs!$C$70*COS((-$B120))+Inputs!$B$70*SIN((-$B120)))-Inputs!$B$5))/M120)-IF(((((Inputs!$C$70*COS((-$B120))+Inputs!$B$70*SIN((-$B120)))-Inputs!$B$5)*(K120-Inputs!$B$5)+((Inputs!$C$70*SIN((-$B120))-Inputs!$B$70*COS((-$B120)))-Inputs!$B$6)*(L120-Inputs!$B$6))/M120)&lt;$B$16,$B$7/2,$B$8/2)-Inputs!$B$39),IF(OR(Inputs!$C$71=0,((((Inputs!$C$71*COS((-$B120))+Inputs!$B$71*SIN((-$B120)))-Inputs!$B$5)*(K120-Inputs!$B$5)+((Inputs!$C$71*SIN((-$B120))-Inputs!$B$71*COS((-$B120)))-Inputs!$B$6)*(L120-Inputs!$B$6))/M120)&lt;0,((((Inputs!$C$71*COS((-$B120))+Inputs!$B$71*SIN((-$B120)))-Inputs!$B$5)*(K120-Inputs!$B$5)+((Inputs!$C$71*SIN((-$B120))-Inputs!$B$71*COS((-$B120)))-Inputs!$B$6)*(L120-Inputs!$B$6))/M120)&gt;M120-Inputs!$B$40),999,(ABS((K120-Inputs!$B$5)*((Inputs!$C$71*SIN((-$B120))-Inputs!$B$71*COS((-$B120)))-Inputs!$B$6)-(L120-Inputs!$B$6)*((Inputs!$C$71*COS((-$B120))+Inputs!$B$71*SIN((-$B120)))-Inputs!$B$5))/M120)-IF(((((Inputs!$C$71*COS((-$B120))+Inputs!$B$71*SIN((-$B120)))-Inputs!$B$5)*(K120-Inputs!$B$5)+((Inputs!$C$71*SIN((-$B120))-Inputs!$B$71*COS((-$B120)))-Inputs!$B$6)*(L120-Inputs!$B$6))/M120)&lt;$B$16,$B$7/2,$B$8/2)-Inputs!$B$39),IF(OR(Inputs!$C$72=0,((((Inputs!$C$72*COS((-$B120))+Inputs!$B$72*SIN((-$B120)))-Inputs!$B$5)*(K120-Inputs!$B$5)+((Inputs!$C$72*SIN((-$B120))-Inputs!$B$72*COS((-$B120)))-Inputs!$B$6)*(L120-Inputs!$B$6))/M120)&lt;0,((((Inputs!$C$72*COS((-$B120))+Inputs!$B$72*SIN((-$B120)))-Inputs!$B$5)*(K120-Inputs!$B$5)+((Inputs!$C$72*SIN((-$B120))-Inputs!$B$72*COS((-$B120)))-Inputs!$B$6)*(L120-Inputs!$B$6))/M120)&gt;M120-Inputs!$B$40),999,(ABS((K120-Inputs!$B$5)*((Inputs!$C$72*SIN((-$B120))-Inputs!$B$72*COS((-$B120)))-Inputs!$B$6)-(L120-Inputs!$B$6)*((Inputs!$C$72*COS((-$B120))+Inputs!$B$72*SIN((-$B120)))-Inputs!$B$5))/M120)-IF(((((Inputs!$C$72*COS((-$B120))+Inputs!$B$72*SIN((-$B120)))-Inputs!$B$5)*(K120-Inputs!$B$5)+((Inputs!$C$72*SIN((-$B120))-Inputs!$B$72*COS((-$B120)))-Inputs!$B$6)*(L120-Inputs!$B$6))/M120)&lt;$B$16,$B$7/2,$B$8/2)-Inputs!$B$39))</f>
        <v>26.93091729</v>
      </c>
      <c r="P120" s="76">
        <f>IF(AND(M120&gt;=$B$14,M120&lt;=$B$15,N120&lt;=Inputs!$B$38,O120&gt;=0,$D120=1),1,0)</f>
        <v>0</v>
      </c>
    </row>
    <row r="121" ht="15.75" customHeight="1">
      <c r="A121" s="23">
        <v>19.5</v>
      </c>
      <c r="B121" s="40">
        <f t="shared" si="4"/>
        <v>0.3403392041</v>
      </c>
      <c r="C121" s="29">
        <f>MAX(Inputs!$C$68*COS($B121)+Inputs!$B$68*ABS(SIN($B121)),Inputs!$C$69*COS($B121)+Inputs!$B$69*ABS(SIN($B121)),Inputs!$C$70*COS($B121)+Inputs!$B$70*ABS(SIN($B121)),Inputs!$C$71*COS($B121)+Inputs!$B$71*ABS(SIN($B121)),Inputs!$C$72*COS($B121)+Inputs!$B$72*ABS(SIN($B121)))</f>
        <v>207.5501288</v>
      </c>
      <c r="D121" s="108">
        <f>IF(C121&lt;=Inputs!$B$38,1,0)</f>
        <v>1</v>
      </c>
      <c r="E121" s="29">
        <f>Inputs!$B$11*COS(($B121))-Inputs!$B$7*SIN(($B121))</f>
        <v>157.118272</v>
      </c>
      <c r="F121" s="29">
        <f>Inputs!$B$11*SIN(($B121))+Inputs!$B$7*COS(($B121))</f>
        <v>-156.5312417</v>
      </c>
      <c r="G121" s="29">
        <f>SQRT((E121-Inputs!$B$5)^2+(F121-Inputs!$B$6)^2)</f>
        <v>272.8283222</v>
      </c>
      <c r="H121" s="29">
        <f>MAX(MAX(Inputs!$B$5,(Inputs!$B$5+(E121-Inputs!$B$5)*MIN(1,$B$16/G121)))+$B$7/2,MAX((Inputs!$B$5+(E121-Inputs!$B$5)*MIN(1,$B$16/G121)),E121)+Inputs!$B$41)</f>
        <v>291.8</v>
      </c>
      <c r="I121" s="29">
        <f>MIN(IF(OR(Inputs!$C$68=0,((((Inputs!$C$68*COS(($B121))+Inputs!$B$68*SIN(($B121)))-Inputs!$B$5)*(E121-Inputs!$B$5)+((Inputs!$C$68*SIN(($B121))-Inputs!$B$68*COS(($B121)))-Inputs!$B$6)*(F121-Inputs!$B$6))/G121)&lt;0,((((Inputs!$C$68*COS(($B121))+Inputs!$B$68*SIN(($B121)))-Inputs!$B$5)*(E121-Inputs!$B$5)+((Inputs!$C$68*SIN(($B121))-Inputs!$B$68*COS(($B121)))-Inputs!$B$6)*(F121-Inputs!$B$6))/G121)&gt;G121-Inputs!$B$40),999,(ABS((E121-Inputs!$B$5)*((Inputs!$C$68*SIN(($B121))-Inputs!$B$68*COS(($B121)))-Inputs!$B$6)-(F121-Inputs!$B$6)*((Inputs!$C$68*COS(($B121))+Inputs!$B$68*SIN(($B121)))-Inputs!$B$5))/G121)-IF(((((Inputs!$C$68*COS(($B121))+Inputs!$B$68*SIN(($B121)))-Inputs!$B$5)*(E121-Inputs!$B$5)+((Inputs!$C$68*SIN(($B121))-Inputs!$B$68*COS(($B121)))-Inputs!$B$6)*(F121-Inputs!$B$6))/G121)&lt;$B$16,$B$7/2,$B$8/2)-Inputs!$B$39),IF(OR(Inputs!$C$69=0,((((Inputs!$C$69*COS(($B121))+Inputs!$B$69*SIN(($B121)))-Inputs!$B$5)*(E121-Inputs!$B$5)+((Inputs!$C$69*SIN(($B121))-Inputs!$B$69*COS(($B121)))-Inputs!$B$6)*(F121-Inputs!$B$6))/G121)&lt;0,((((Inputs!$C$69*COS(($B121))+Inputs!$B$69*SIN(($B121)))-Inputs!$B$5)*(E121-Inputs!$B$5)+((Inputs!$C$69*SIN(($B121))-Inputs!$B$69*COS(($B121)))-Inputs!$B$6)*(F121-Inputs!$B$6))/G121)&gt;G121-Inputs!$B$40),999,(ABS((E121-Inputs!$B$5)*((Inputs!$C$69*SIN(($B121))-Inputs!$B$69*COS(($B121)))-Inputs!$B$6)-(F121-Inputs!$B$6)*((Inputs!$C$69*COS(($B121))+Inputs!$B$69*SIN(($B121)))-Inputs!$B$5))/G121)-IF(((((Inputs!$C$69*COS(($B121))+Inputs!$B$69*SIN(($B121)))-Inputs!$B$5)*(E121-Inputs!$B$5)+((Inputs!$C$69*SIN(($B121))-Inputs!$B$69*COS(($B121)))-Inputs!$B$6)*(F121-Inputs!$B$6))/G121)&lt;$B$16,$B$7/2,$B$8/2)-Inputs!$B$39),IF(OR(Inputs!$C$70=0,((((Inputs!$C$70*COS(($B121))+Inputs!$B$70*SIN(($B121)))-Inputs!$B$5)*(E121-Inputs!$B$5)+((Inputs!$C$70*SIN(($B121))-Inputs!$B$70*COS(($B121)))-Inputs!$B$6)*(F121-Inputs!$B$6))/G121)&lt;0,((((Inputs!$C$70*COS(($B121))+Inputs!$B$70*SIN(($B121)))-Inputs!$B$5)*(E121-Inputs!$B$5)+((Inputs!$C$70*SIN(($B121))-Inputs!$B$70*COS(($B121)))-Inputs!$B$6)*(F121-Inputs!$B$6))/G121)&gt;G121-Inputs!$B$40),999,(ABS((E121-Inputs!$B$5)*((Inputs!$C$70*SIN(($B121))-Inputs!$B$70*COS(($B121)))-Inputs!$B$6)-(F121-Inputs!$B$6)*((Inputs!$C$70*COS(($B121))+Inputs!$B$70*SIN(($B121)))-Inputs!$B$5))/G121)-IF(((((Inputs!$C$70*COS(($B121))+Inputs!$B$70*SIN(($B121)))-Inputs!$B$5)*(E121-Inputs!$B$5)+((Inputs!$C$70*SIN(($B121))-Inputs!$B$70*COS(($B121)))-Inputs!$B$6)*(F121-Inputs!$B$6))/G121)&lt;$B$16,$B$7/2,$B$8/2)-Inputs!$B$39),IF(OR(Inputs!$C$71=0,((((Inputs!$C$71*COS(($B121))+Inputs!$B$71*SIN(($B121)))-Inputs!$B$5)*(E121-Inputs!$B$5)+((Inputs!$C$71*SIN(($B121))-Inputs!$B$71*COS(($B121)))-Inputs!$B$6)*(F121-Inputs!$B$6))/G121)&lt;0,((((Inputs!$C$71*COS(($B121))+Inputs!$B$71*SIN(($B121)))-Inputs!$B$5)*(E121-Inputs!$B$5)+((Inputs!$C$71*SIN(($B121))-Inputs!$B$71*COS(($B121)))-Inputs!$B$6)*(F121-Inputs!$B$6))/G121)&gt;G121-Inputs!$B$40),999,(ABS((E121-Inputs!$B$5)*((Inputs!$C$71*SIN(($B121))-Inputs!$B$71*COS(($B121)))-Inputs!$B$6)-(F121-Inputs!$B$6)*((Inputs!$C$71*COS(($B121))+Inputs!$B$71*SIN(($B121)))-Inputs!$B$5))/G121)-IF(((((Inputs!$C$71*COS(($B121))+Inputs!$B$71*SIN(($B121)))-Inputs!$B$5)*(E121-Inputs!$B$5)+((Inputs!$C$71*SIN(($B121))-Inputs!$B$71*COS(($B121)))-Inputs!$B$6)*(F121-Inputs!$B$6))/G121)&lt;$B$16,$B$7/2,$B$8/2)-Inputs!$B$39),IF(OR(Inputs!$C$72=0,((((Inputs!$C$72*COS(($B121))+Inputs!$B$72*SIN(($B121)))-Inputs!$B$5)*(E121-Inputs!$B$5)+((Inputs!$C$72*SIN(($B121))-Inputs!$B$72*COS(($B121)))-Inputs!$B$6)*(F121-Inputs!$B$6))/G121)&lt;0,((((Inputs!$C$72*COS(($B121))+Inputs!$B$72*SIN(($B121)))-Inputs!$B$5)*(E121-Inputs!$B$5)+((Inputs!$C$72*SIN(($B121))-Inputs!$B$72*COS(($B121)))-Inputs!$B$6)*(F121-Inputs!$B$6))/G121)&gt;G121-Inputs!$B$40),999,(ABS((E121-Inputs!$B$5)*((Inputs!$C$72*SIN(($B121))-Inputs!$B$72*COS(($B121)))-Inputs!$B$6)-(F121-Inputs!$B$6)*((Inputs!$C$72*COS(($B121))+Inputs!$B$72*SIN(($B121)))-Inputs!$B$5))/G121)-IF(((((Inputs!$C$72*COS(($B121))+Inputs!$B$72*SIN(($B121)))-Inputs!$B$5)*(E121-Inputs!$B$5)+((Inputs!$C$72*SIN(($B121))-Inputs!$B$72*COS(($B121)))-Inputs!$B$6)*(F121-Inputs!$B$6))/G121)&lt;$B$16,$B$7/2,$B$8/2)-Inputs!$B$39))</f>
        <v>45.80540867</v>
      </c>
      <c r="J121" s="76">
        <f>IF(AND(G121&gt;=$B$14,G121&lt;=$B$15,H121&lt;=Inputs!$B$38,I121&gt;=0,$D121=1),1,0)</f>
        <v>0</v>
      </c>
      <c r="K121" s="29">
        <f>Inputs!$B$11*COS((-$B121))-Inputs!$B$7*SIN((-$B121))</f>
        <v>23.59552828</v>
      </c>
      <c r="L121" s="29">
        <f>Inputs!$B$11*SIN((-$B121))+Inputs!$B$7*COS((-$B121))</f>
        <v>-220.5253547</v>
      </c>
      <c r="M121" s="29">
        <f>SQRT((K121-Inputs!$B$5)^2+(L121-Inputs!$B$6)^2)</f>
        <v>392.4225883</v>
      </c>
      <c r="N121" s="29">
        <f>MAX(MAX(Inputs!$B$5,(Inputs!$B$5+(K121-Inputs!$B$5)*MIN(1,$B$16/M121)))+$B$7/2,MAX((Inputs!$B$5+(K121-Inputs!$B$5)*MIN(1,$B$16/M121)),K121)+Inputs!$B$41)</f>
        <v>291.8</v>
      </c>
      <c r="O121" s="29">
        <f>MIN(IF(OR(Inputs!$C$68=0,((((Inputs!$C$68*COS((-$B121))+Inputs!$B$68*SIN((-$B121)))-Inputs!$B$5)*(K121-Inputs!$B$5)+((Inputs!$C$68*SIN((-$B121))-Inputs!$B$68*COS((-$B121)))-Inputs!$B$6)*(L121-Inputs!$B$6))/M121)&lt;0,((((Inputs!$C$68*COS((-$B121))+Inputs!$B$68*SIN((-$B121)))-Inputs!$B$5)*(K121-Inputs!$B$5)+((Inputs!$C$68*SIN((-$B121))-Inputs!$B$68*COS((-$B121)))-Inputs!$B$6)*(L121-Inputs!$B$6))/M121)&gt;M121-Inputs!$B$40),999,(ABS((K121-Inputs!$B$5)*((Inputs!$C$68*SIN((-$B121))-Inputs!$B$68*COS((-$B121)))-Inputs!$B$6)-(L121-Inputs!$B$6)*((Inputs!$C$68*COS((-$B121))+Inputs!$B$68*SIN((-$B121)))-Inputs!$B$5))/M121)-IF(((((Inputs!$C$68*COS((-$B121))+Inputs!$B$68*SIN((-$B121)))-Inputs!$B$5)*(K121-Inputs!$B$5)+((Inputs!$C$68*SIN((-$B121))-Inputs!$B$68*COS((-$B121)))-Inputs!$B$6)*(L121-Inputs!$B$6))/M121)&lt;$B$16,$B$7/2,$B$8/2)-Inputs!$B$39),IF(OR(Inputs!$C$69=0,((((Inputs!$C$69*COS((-$B121))+Inputs!$B$69*SIN((-$B121)))-Inputs!$B$5)*(K121-Inputs!$B$5)+((Inputs!$C$69*SIN((-$B121))-Inputs!$B$69*COS((-$B121)))-Inputs!$B$6)*(L121-Inputs!$B$6))/M121)&lt;0,((((Inputs!$C$69*COS((-$B121))+Inputs!$B$69*SIN((-$B121)))-Inputs!$B$5)*(K121-Inputs!$B$5)+((Inputs!$C$69*SIN((-$B121))-Inputs!$B$69*COS((-$B121)))-Inputs!$B$6)*(L121-Inputs!$B$6))/M121)&gt;M121-Inputs!$B$40),999,(ABS((K121-Inputs!$B$5)*((Inputs!$C$69*SIN((-$B121))-Inputs!$B$69*COS((-$B121)))-Inputs!$B$6)-(L121-Inputs!$B$6)*((Inputs!$C$69*COS((-$B121))+Inputs!$B$69*SIN((-$B121)))-Inputs!$B$5))/M121)-IF(((((Inputs!$C$69*COS((-$B121))+Inputs!$B$69*SIN((-$B121)))-Inputs!$B$5)*(K121-Inputs!$B$5)+((Inputs!$C$69*SIN((-$B121))-Inputs!$B$69*COS((-$B121)))-Inputs!$B$6)*(L121-Inputs!$B$6))/M121)&lt;$B$16,$B$7/2,$B$8/2)-Inputs!$B$39),IF(OR(Inputs!$C$70=0,((((Inputs!$C$70*COS((-$B121))+Inputs!$B$70*SIN((-$B121)))-Inputs!$B$5)*(K121-Inputs!$B$5)+((Inputs!$C$70*SIN((-$B121))-Inputs!$B$70*COS((-$B121)))-Inputs!$B$6)*(L121-Inputs!$B$6))/M121)&lt;0,((((Inputs!$C$70*COS((-$B121))+Inputs!$B$70*SIN((-$B121)))-Inputs!$B$5)*(K121-Inputs!$B$5)+((Inputs!$C$70*SIN((-$B121))-Inputs!$B$70*COS((-$B121)))-Inputs!$B$6)*(L121-Inputs!$B$6))/M121)&gt;M121-Inputs!$B$40),999,(ABS((K121-Inputs!$B$5)*((Inputs!$C$70*SIN((-$B121))-Inputs!$B$70*COS((-$B121)))-Inputs!$B$6)-(L121-Inputs!$B$6)*((Inputs!$C$70*COS((-$B121))+Inputs!$B$70*SIN((-$B121)))-Inputs!$B$5))/M121)-IF(((((Inputs!$C$70*COS((-$B121))+Inputs!$B$70*SIN((-$B121)))-Inputs!$B$5)*(K121-Inputs!$B$5)+((Inputs!$C$70*SIN((-$B121))-Inputs!$B$70*COS((-$B121)))-Inputs!$B$6)*(L121-Inputs!$B$6))/M121)&lt;$B$16,$B$7/2,$B$8/2)-Inputs!$B$39),IF(OR(Inputs!$C$71=0,((((Inputs!$C$71*COS((-$B121))+Inputs!$B$71*SIN((-$B121)))-Inputs!$B$5)*(K121-Inputs!$B$5)+((Inputs!$C$71*SIN((-$B121))-Inputs!$B$71*COS((-$B121)))-Inputs!$B$6)*(L121-Inputs!$B$6))/M121)&lt;0,((((Inputs!$C$71*COS((-$B121))+Inputs!$B$71*SIN((-$B121)))-Inputs!$B$5)*(K121-Inputs!$B$5)+((Inputs!$C$71*SIN((-$B121))-Inputs!$B$71*COS((-$B121)))-Inputs!$B$6)*(L121-Inputs!$B$6))/M121)&gt;M121-Inputs!$B$40),999,(ABS((K121-Inputs!$B$5)*((Inputs!$C$71*SIN((-$B121))-Inputs!$B$71*COS((-$B121)))-Inputs!$B$6)-(L121-Inputs!$B$6)*((Inputs!$C$71*COS((-$B121))+Inputs!$B$71*SIN((-$B121)))-Inputs!$B$5))/M121)-IF(((((Inputs!$C$71*COS((-$B121))+Inputs!$B$71*SIN((-$B121)))-Inputs!$B$5)*(K121-Inputs!$B$5)+((Inputs!$C$71*SIN((-$B121))-Inputs!$B$71*COS((-$B121)))-Inputs!$B$6)*(L121-Inputs!$B$6))/M121)&lt;$B$16,$B$7/2,$B$8/2)-Inputs!$B$39),IF(OR(Inputs!$C$72=0,((((Inputs!$C$72*COS((-$B121))+Inputs!$B$72*SIN((-$B121)))-Inputs!$B$5)*(K121-Inputs!$B$5)+((Inputs!$C$72*SIN((-$B121))-Inputs!$B$72*COS((-$B121)))-Inputs!$B$6)*(L121-Inputs!$B$6))/M121)&lt;0,((((Inputs!$C$72*COS((-$B121))+Inputs!$B$72*SIN((-$B121)))-Inputs!$B$5)*(K121-Inputs!$B$5)+((Inputs!$C$72*SIN((-$B121))-Inputs!$B$72*COS((-$B121)))-Inputs!$B$6)*(L121-Inputs!$B$6))/M121)&gt;M121-Inputs!$B$40),999,(ABS((K121-Inputs!$B$5)*((Inputs!$C$72*SIN((-$B121))-Inputs!$B$72*COS((-$B121)))-Inputs!$B$6)-(L121-Inputs!$B$6)*((Inputs!$C$72*COS((-$B121))+Inputs!$B$72*SIN((-$B121)))-Inputs!$B$5))/M121)-IF(((((Inputs!$C$72*COS((-$B121))+Inputs!$B$72*SIN((-$B121)))-Inputs!$B$5)*(K121-Inputs!$B$5)+((Inputs!$C$72*SIN((-$B121))-Inputs!$B$72*COS((-$B121)))-Inputs!$B$6)*(L121-Inputs!$B$6))/M121)&lt;$B$16,$B$7/2,$B$8/2)-Inputs!$B$39))</f>
        <v>26.59723534</v>
      </c>
      <c r="P121" s="76">
        <f>IF(AND(M121&gt;=$B$14,M121&lt;=$B$15,N121&lt;=Inputs!$B$38,O121&gt;=0,$D121=1),1,0)</f>
        <v>0</v>
      </c>
    </row>
    <row r="122" ht="15.75" customHeight="1">
      <c r="A122" s="23">
        <v>19.75</v>
      </c>
      <c r="B122" s="40">
        <f t="shared" si="4"/>
        <v>0.3447025273</v>
      </c>
      <c r="C122" s="29">
        <f>MAX(Inputs!$C$68*COS($B122)+Inputs!$B$68*ABS(SIN($B122)),Inputs!$C$69*COS($B122)+Inputs!$B$69*ABS(SIN($B122)),Inputs!$C$70*COS($B122)+Inputs!$B$70*ABS(SIN($B122)),Inputs!$C$71*COS($B122)+Inputs!$B$71*ABS(SIN($B122)),Inputs!$C$72*COS($B122)+Inputs!$B$72*ABS(SIN($B122)))</f>
        <v>209.0728665</v>
      </c>
      <c r="D122" s="108">
        <f>IF(C122&lt;=Inputs!$B$38,1,0)</f>
        <v>1</v>
      </c>
      <c r="E122" s="29">
        <f>Inputs!$B$11*COS(($B122))-Inputs!$B$7*SIN(($B122))</f>
        <v>157.7997705</v>
      </c>
      <c r="F122" s="29">
        <f>Inputs!$B$11*SIN(($B122))+Inputs!$B$7*COS(($B122))</f>
        <v>-155.844196</v>
      </c>
      <c r="G122" s="29">
        <f>SQRT((E122-Inputs!$B$5)^2+(F122-Inputs!$B$6)^2)</f>
        <v>271.9506113</v>
      </c>
      <c r="H122" s="29">
        <f>MAX(MAX(Inputs!$B$5,(Inputs!$B$5+(E122-Inputs!$B$5)*MIN(1,$B$16/G122)))+$B$7/2,MAX((Inputs!$B$5+(E122-Inputs!$B$5)*MIN(1,$B$16/G122)),E122)+Inputs!$B$41)</f>
        <v>291.8</v>
      </c>
      <c r="I122" s="29">
        <f>MIN(IF(OR(Inputs!$C$68=0,((((Inputs!$C$68*COS(($B122))+Inputs!$B$68*SIN(($B122)))-Inputs!$B$5)*(E122-Inputs!$B$5)+((Inputs!$C$68*SIN(($B122))-Inputs!$B$68*COS(($B122)))-Inputs!$B$6)*(F122-Inputs!$B$6))/G122)&lt;0,((((Inputs!$C$68*COS(($B122))+Inputs!$B$68*SIN(($B122)))-Inputs!$B$5)*(E122-Inputs!$B$5)+((Inputs!$C$68*SIN(($B122))-Inputs!$B$68*COS(($B122)))-Inputs!$B$6)*(F122-Inputs!$B$6))/G122)&gt;G122-Inputs!$B$40),999,(ABS((E122-Inputs!$B$5)*((Inputs!$C$68*SIN(($B122))-Inputs!$B$68*COS(($B122)))-Inputs!$B$6)-(F122-Inputs!$B$6)*((Inputs!$C$68*COS(($B122))+Inputs!$B$68*SIN(($B122)))-Inputs!$B$5))/G122)-IF(((((Inputs!$C$68*COS(($B122))+Inputs!$B$68*SIN(($B122)))-Inputs!$B$5)*(E122-Inputs!$B$5)+((Inputs!$C$68*SIN(($B122))-Inputs!$B$68*COS(($B122)))-Inputs!$B$6)*(F122-Inputs!$B$6))/G122)&lt;$B$16,$B$7/2,$B$8/2)-Inputs!$B$39),IF(OR(Inputs!$C$69=0,((((Inputs!$C$69*COS(($B122))+Inputs!$B$69*SIN(($B122)))-Inputs!$B$5)*(E122-Inputs!$B$5)+((Inputs!$C$69*SIN(($B122))-Inputs!$B$69*COS(($B122)))-Inputs!$B$6)*(F122-Inputs!$B$6))/G122)&lt;0,((((Inputs!$C$69*COS(($B122))+Inputs!$B$69*SIN(($B122)))-Inputs!$B$5)*(E122-Inputs!$B$5)+((Inputs!$C$69*SIN(($B122))-Inputs!$B$69*COS(($B122)))-Inputs!$B$6)*(F122-Inputs!$B$6))/G122)&gt;G122-Inputs!$B$40),999,(ABS((E122-Inputs!$B$5)*((Inputs!$C$69*SIN(($B122))-Inputs!$B$69*COS(($B122)))-Inputs!$B$6)-(F122-Inputs!$B$6)*((Inputs!$C$69*COS(($B122))+Inputs!$B$69*SIN(($B122)))-Inputs!$B$5))/G122)-IF(((((Inputs!$C$69*COS(($B122))+Inputs!$B$69*SIN(($B122)))-Inputs!$B$5)*(E122-Inputs!$B$5)+((Inputs!$C$69*SIN(($B122))-Inputs!$B$69*COS(($B122)))-Inputs!$B$6)*(F122-Inputs!$B$6))/G122)&lt;$B$16,$B$7/2,$B$8/2)-Inputs!$B$39),IF(OR(Inputs!$C$70=0,((((Inputs!$C$70*COS(($B122))+Inputs!$B$70*SIN(($B122)))-Inputs!$B$5)*(E122-Inputs!$B$5)+((Inputs!$C$70*SIN(($B122))-Inputs!$B$70*COS(($B122)))-Inputs!$B$6)*(F122-Inputs!$B$6))/G122)&lt;0,((((Inputs!$C$70*COS(($B122))+Inputs!$B$70*SIN(($B122)))-Inputs!$B$5)*(E122-Inputs!$B$5)+((Inputs!$C$70*SIN(($B122))-Inputs!$B$70*COS(($B122)))-Inputs!$B$6)*(F122-Inputs!$B$6))/G122)&gt;G122-Inputs!$B$40),999,(ABS((E122-Inputs!$B$5)*((Inputs!$C$70*SIN(($B122))-Inputs!$B$70*COS(($B122)))-Inputs!$B$6)-(F122-Inputs!$B$6)*((Inputs!$C$70*COS(($B122))+Inputs!$B$70*SIN(($B122)))-Inputs!$B$5))/G122)-IF(((((Inputs!$C$70*COS(($B122))+Inputs!$B$70*SIN(($B122)))-Inputs!$B$5)*(E122-Inputs!$B$5)+((Inputs!$C$70*SIN(($B122))-Inputs!$B$70*COS(($B122)))-Inputs!$B$6)*(F122-Inputs!$B$6))/G122)&lt;$B$16,$B$7/2,$B$8/2)-Inputs!$B$39),IF(OR(Inputs!$C$71=0,((((Inputs!$C$71*COS(($B122))+Inputs!$B$71*SIN(($B122)))-Inputs!$B$5)*(E122-Inputs!$B$5)+((Inputs!$C$71*SIN(($B122))-Inputs!$B$71*COS(($B122)))-Inputs!$B$6)*(F122-Inputs!$B$6))/G122)&lt;0,((((Inputs!$C$71*COS(($B122))+Inputs!$B$71*SIN(($B122)))-Inputs!$B$5)*(E122-Inputs!$B$5)+((Inputs!$C$71*SIN(($B122))-Inputs!$B$71*COS(($B122)))-Inputs!$B$6)*(F122-Inputs!$B$6))/G122)&gt;G122-Inputs!$B$40),999,(ABS((E122-Inputs!$B$5)*((Inputs!$C$71*SIN(($B122))-Inputs!$B$71*COS(($B122)))-Inputs!$B$6)-(F122-Inputs!$B$6)*((Inputs!$C$71*COS(($B122))+Inputs!$B$71*SIN(($B122)))-Inputs!$B$5))/G122)-IF(((((Inputs!$C$71*COS(($B122))+Inputs!$B$71*SIN(($B122)))-Inputs!$B$5)*(E122-Inputs!$B$5)+((Inputs!$C$71*SIN(($B122))-Inputs!$B$71*COS(($B122)))-Inputs!$B$6)*(F122-Inputs!$B$6))/G122)&lt;$B$16,$B$7/2,$B$8/2)-Inputs!$B$39),IF(OR(Inputs!$C$72=0,((((Inputs!$C$72*COS(($B122))+Inputs!$B$72*SIN(($B122)))-Inputs!$B$5)*(E122-Inputs!$B$5)+((Inputs!$C$72*SIN(($B122))-Inputs!$B$72*COS(($B122)))-Inputs!$B$6)*(F122-Inputs!$B$6))/G122)&lt;0,((((Inputs!$C$72*COS(($B122))+Inputs!$B$72*SIN(($B122)))-Inputs!$B$5)*(E122-Inputs!$B$5)+((Inputs!$C$72*SIN(($B122))-Inputs!$B$72*COS(($B122)))-Inputs!$B$6)*(F122-Inputs!$B$6))/G122)&gt;G122-Inputs!$B$40),999,(ABS((E122-Inputs!$B$5)*((Inputs!$C$72*SIN(($B122))-Inputs!$B$72*COS(($B122)))-Inputs!$B$6)-(F122-Inputs!$B$6)*((Inputs!$C$72*COS(($B122))+Inputs!$B$72*SIN(($B122)))-Inputs!$B$5))/G122)-IF(((((Inputs!$C$72*COS(($B122))+Inputs!$B$72*SIN(($B122)))-Inputs!$B$5)*(E122-Inputs!$B$5)+((Inputs!$C$72*SIN(($B122))-Inputs!$B$72*COS(($B122)))-Inputs!$B$6)*(F122-Inputs!$B$6))/G122)&lt;$B$16,$B$7/2,$B$8/2)-Inputs!$B$39))</f>
        <v>45.9812338</v>
      </c>
      <c r="J122" s="76">
        <f>IF(AND(G122&gt;=$B$14,G122&lt;=$B$15,H122&lt;=Inputs!$B$38,I122&gt;=0,$D122=1),1,0)</f>
        <v>0</v>
      </c>
      <c r="K122" s="29">
        <f>Inputs!$B$11*COS((-$B122))-Inputs!$B$7*SIN((-$B122))</f>
        <v>22.63308334</v>
      </c>
      <c r="L122" s="29">
        <f>Inputs!$B$11*SIN((-$B122))+Inputs!$B$7*COS((-$B122))</f>
        <v>-220.6262101</v>
      </c>
      <c r="M122" s="29">
        <f>SQRT((K122-Inputs!$B$5)^2+(L122-Inputs!$B$6)^2)</f>
        <v>393.060913</v>
      </c>
      <c r="N122" s="29">
        <f>MAX(MAX(Inputs!$B$5,(Inputs!$B$5+(K122-Inputs!$B$5)*MIN(1,$B$16/M122)))+$B$7/2,MAX((Inputs!$B$5+(K122-Inputs!$B$5)*MIN(1,$B$16/M122)),K122)+Inputs!$B$41)</f>
        <v>291.8</v>
      </c>
      <c r="O122" s="29">
        <f>MIN(IF(OR(Inputs!$C$68=0,((((Inputs!$C$68*COS((-$B122))+Inputs!$B$68*SIN((-$B122)))-Inputs!$B$5)*(K122-Inputs!$B$5)+((Inputs!$C$68*SIN((-$B122))-Inputs!$B$68*COS((-$B122)))-Inputs!$B$6)*(L122-Inputs!$B$6))/M122)&lt;0,((((Inputs!$C$68*COS((-$B122))+Inputs!$B$68*SIN((-$B122)))-Inputs!$B$5)*(K122-Inputs!$B$5)+((Inputs!$C$68*SIN((-$B122))-Inputs!$B$68*COS((-$B122)))-Inputs!$B$6)*(L122-Inputs!$B$6))/M122)&gt;M122-Inputs!$B$40),999,(ABS((K122-Inputs!$B$5)*((Inputs!$C$68*SIN((-$B122))-Inputs!$B$68*COS((-$B122)))-Inputs!$B$6)-(L122-Inputs!$B$6)*((Inputs!$C$68*COS((-$B122))+Inputs!$B$68*SIN((-$B122)))-Inputs!$B$5))/M122)-IF(((((Inputs!$C$68*COS((-$B122))+Inputs!$B$68*SIN((-$B122)))-Inputs!$B$5)*(K122-Inputs!$B$5)+((Inputs!$C$68*SIN((-$B122))-Inputs!$B$68*COS((-$B122)))-Inputs!$B$6)*(L122-Inputs!$B$6))/M122)&lt;$B$16,$B$7/2,$B$8/2)-Inputs!$B$39),IF(OR(Inputs!$C$69=0,((((Inputs!$C$69*COS((-$B122))+Inputs!$B$69*SIN((-$B122)))-Inputs!$B$5)*(K122-Inputs!$B$5)+((Inputs!$C$69*SIN((-$B122))-Inputs!$B$69*COS((-$B122)))-Inputs!$B$6)*(L122-Inputs!$B$6))/M122)&lt;0,((((Inputs!$C$69*COS((-$B122))+Inputs!$B$69*SIN((-$B122)))-Inputs!$B$5)*(K122-Inputs!$B$5)+((Inputs!$C$69*SIN((-$B122))-Inputs!$B$69*COS((-$B122)))-Inputs!$B$6)*(L122-Inputs!$B$6))/M122)&gt;M122-Inputs!$B$40),999,(ABS((K122-Inputs!$B$5)*((Inputs!$C$69*SIN((-$B122))-Inputs!$B$69*COS((-$B122)))-Inputs!$B$6)-(L122-Inputs!$B$6)*((Inputs!$C$69*COS((-$B122))+Inputs!$B$69*SIN((-$B122)))-Inputs!$B$5))/M122)-IF(((((Inputs!$C$69*COS((-$B122))+Inputs!$B$69*SIN((-$B122)))-Inputs!$B$5)*(K122-Inputs!$B$5)+((Inputs!$C$69*SIN((-$B122))-Inputs!$B$69*COS((-$B122)))-Inputs!$B$6)*(L122-Inputs!$B$6))/M122)&lt;$B$16,$B$7/2,$B$8/2)-Inputs!$B$39),IF(OR(Inputs!$C$70=0,((((Inputs!$C$70*COS((-$B122))+Inputs!$B$70*SIN((-$B122)))-Inputs!$B$5)*(K122-Inputs!$B$5)+((Inputs!$C$70*SIN((-$B122))-Inputs!$B$70*COS((-$B122)))-Inputs!$B$6)*(L122-Inputs!$B$6))/M122)&lt;0,((((Inputs!$C$70*COS((-$B122))+Inputs!$B$70*SIN((-$B122)))-Inputs!$B$5)*(K122-Inputs!$B$5)+((Inputs!$C$70*SIN((-$B122))-Inputs!$B$70*COS((-$B122)))-Inputs!$B$6)*(L122-Inputs!$B$6))/M122)&gt;M122-Inputs!$B$40),999,(ABS((K122-Inputs!$B$5)*((Inputs!$C$70*SIN((-$B122))-Inputs!$B$70*COS((-$B122)))-Inputs!$B$6)-(L122-Inputs!$B$6)*((Inputs!$C$70*COS((-$B122))+Inputs!$B$70*SIN((-$B122)))-Inputs!$B$5))/M122)-IF(((((Inputs!$C$70*COS((-$B122))+Inputs!$B$70*SIN((-$B122)))-Inputs!$B$5)*(K122-Inputs!$B$5)+((Inputs!$C$70*SIN((-$B122))-Inputs!$B$70*COS((-$B122)))-Inputs!$B$6)*(L122-Inputs!$B$6))/M122)&lt;$B$16,$B$7/2,$B$8/2)-Inputs!$B$39),IF(OR(Inputs!$C$71=0,((((Inputs!$C$71*COS((-$B122))+Inputs!$B$71*SIN((-$B122)))-Inputs!$B$5)*(K122-Inputs!$B$5)+((Inputs!$C$71*SIN((-$B122))-Inputs!$B$71*COS((-$B122)))-Inputs!$B$6)*(L122-Inputs!$B$6))/M122)&lt;0,((((Inputs!$C$71*COS((-$B122))+Inputs!$B$71*SIN((-$B122)))-Inputs!$B$5)*(K122-Inputs!$B$5)+((Inputs!$C$71*SIN((-$B122))-Inputs!$B$71*COS((-$B122)))-Inputs!$B$6)*(L122-Inputs!$B$6))/M122)&gt;M122-Inputs!$B$40),999,(ABS((K122-Inputs!$B$5)*((Inputs!$C$71*SIN((-$B122))-Inputs!$B$71*COS((-$B122)))-Inputs!$B$6)-(L122-Inputs!$B$6)*((Inputs!$C$71*COS((-$B122))+Inputs!$B$71*SIN((-$B122)))-Inputs!$B$5))/M122)-IF(((((Inputs!$C$71*COS((-$B122))+Inputs!$B$71*SIN((-$B122)))-Inputs!$B$5)*(K122-Inputs!$B$5)+((Inputs!$C$71*SIN((-$B122))-Inputs!$B$71*COS((-$B122)))-Inputs!$B$6)*(L122-Inputs!$B$6))/M122)&lt;$B$16,$B$7/2,$B$8/2)-Inputs!$B$39),IF(OR(Inputs!$C$72=0,((((Inputs!$C$72*COS((-$B122))+Inputs!$B$72*SIN((-$B122)))-Inputs!$B$5)*(K122-Inputs!$B$5)+((Inputs!$C$72*SIN((-$B122))-Inputs!$B$72*COS((-$B122)))-Inputs!$B$6)*(L122-Inputs!$B$6))/M122)&lt;0,((((Inputs!$C$72*COS((-$B122))+Inputs!$B$72*SIN((-$B122)))-Inputs!$B$5)*(K122-Inputs!$B$5)+((Inputs!$C$72*SIN((-$B122))-Inputs!$B$72*COS((-$B122)))-Inputs!$B$6)*(L122-Inputs!$B$6))/M122)&gt;M122-Inputs!$B$40),999,(ABS((K122-Inputs!$B$5)*((Inputs!$C$72*SIN((-$B122))-Inputs!$B$72*COS((-$B122)))-Inputs!$B$6)-(L122-Inputs!$B$6)*((Inputs!$C$72*COS((-$B122))+Inputs!$B$72*SIN((-$B122)))-Inputs!$B$5))/M122)-IF(((((Inputs!$C$72*COS((-$B122))+Inputs!$B$72*SIN((-$B122)))-Inputs!$B$5)*(K122-Inputs!$B$5)+((Inputs!$C$72*SIN((-$B122))-Inputs!$B$72*COS((-$B122)))-Inputs!$B$6)*(L122-Inputs!$B$6))/M122)&lt;$B$16,$B$7/2,$B$8/2)-Inputs!$B$39))</f>
        <v>26.26341454</v>
      </c>
      <c r="P122" s="76">
        <f>IF(AND(M122&gt;=$B$14,M122&lt;=$B$15,N122&lt;=Inputs!$B$38,O122&gt;=0,$D122=1),1,0)</f>
        <v>0</v>
      </c>
    </row>
    <row r="123" ht="15.75" customHeight="1">
      <c r="A123" s="23">
        <v>20.0</v>
      </c>
      <c r="B123" s="40">
        <f t="shared" si="4"/>
        <v>0.3490658504</v>
      </c>
      <c r="C123" s="29">
        <f>MAX(Inputs!$C$68*COS($B123)+Inputs!$B$68*ABS(SIN($B123)),Inputs!$C$69*COS($B123)+Inputs!$B$69*ABS(SIN($B123)),Inputs!$C$70*COS($B123)+Inputs!$B$70*ABS(SIN($B123)),Inputs!$C$71*COS($B123)+Inputs!$B$71*ABS(SIN($B123)),Inputs!$C$72*COS($B123)+Inputs!$B$72*ABS(SIN($B123)))</f>
        <v>210.5916237</v>
      </c>
      <c r="D123" s="108">
        <f>IF(C123&lt;=Inputs!$B$38,1,0)</f>
        <v>1</v>
      </c>
      <c r="E123" s="29">
        <f>Inputs!$B$11*COS(($B123))-Inputs!$B$7*SIN(($B123))</f>
        <v>158.4782648</v>
      </c>
      <c r="F123" s="29">
        <f>Inputs!$B$11*SIN(($B123))+Inputs!$B$7*COS(($B123))</f>
        <v>-155.1541833</v>
      </c>
      <c r="G123" s="29">
        <f>SQRT((E123-Inputs!$B$5)^2+(F123-Inputs!$B$6)^2)</f>
        <v>271.0717346</v>
      </c>
      <c r="H123" s="29">
        <f>MAX(MAX(Inputs!$B$5,(Inputs!$B$5+(E123-Inputs!$B$5)*MIN(1,$B$16/G123)))+$B$7/2,MAX((Inputs!$B$5+(E123-Inputs!$B$5)*MIN(1,$B$16/G123)),E123)+Inputs!$B$41)</f>
        <v>291.8</v>
      </c>
      <c r="I123" s="29">
        <f>MIN(IF(OR(Inputs!$C$68=0,((((Inputs!$C$68*COS(($B123))+Inputs!$B$68*SIN(($B123)))-Inputs!$B$5)*(E123-Inputs!$B$5)+((Inputs!$C$68*SIN(($B123))-Inputs!$B$68*COS(($B123)))-Inputs!$B$6)*(F123-Inputs!$B$6))/G123)&lt;0,((((Inputs!$C$68*COS(($B123))+Inputs!$B$68*SIN(($B123)))-Inputs!$B$5)*(E123-Inputs!$B$5)+((Inputs!$C$68*SIN(($B123))-Inputs!$B$68*COS(($B123)))-Inputs!$B$6)*(F123-Inputs!$B$6))/G123)&gt;G123-Inputs!$B$40),999,(ABS((E123-Inputs!$B$5)*((Inputs!$C$68*SIN(($B123))-Inputs!$B$68*COS(($B123)))-Inputs!$B$6)-(F123-Inputs!$B$6)*((Inputs!$C$68*COS(($B123))+Inputs!$B$68*SIN(($B123)))-Inputs!$B$5))/G123)-IF(((((Inputs!$C$68*COS(($B123))+Inputs!$B$68*SIN(($B123)))-Inputs!$B$5)*(E123-Inputs!$B$5)+((Inputs!$C$68*SIN(($B123))-Inputs!$B$68*COS(($B123)))-Inputs!$B$6)*(F123-Inputs!$B$6))/G123)&lt;$B$16,$B$7/2,$B$8/2)-Inputs!$B$39),IF(OR(Inputs!$C$69=0,((((Inputs!$C$69*COS(($B123))+Inputs!$B$69*SIN(($B123)))-Inputs!$B$5)*(E123-Inputs!$B$5)+((Inputs!$C$69*SIN(($B123))-Inputs!$B$69*COS(($B123)))-Inputs!$B$6)*(F123-Inputs!$B$6))/G123)&lt;0,((((Inputs!$C$69*COS(($B123))+Inputs!$B$69*SIN(($B123)))-Inputs!$B$5)*(E123-Inputs!$B$5)+((Inputs!$C$69*SIN(($B123))-Inputs!$B$69*COS(($B123)))-Inputs!$B$6)*(F123-Inputs!$B$6))/G123)&gt;G123-Inputs!$B$40),999,(ABS((E123-Inputs!$B$5)*((Inputs!$C$69*SIN(($B123))-Inputs!$B$69*COS(($B123)))-Inputs!$B$6)-(F123-Inputs!$B$6)*((Inputs!$C$69*COS(($B123))+Inputs!$B$69*SIN(($B123)))-Inputs!$B$5))/G123)-IF(((((Inputs!$C$69*COS(($B123))+Inputs!$B$69*SIN(($B123)))-Inputs!$B$5)*(E123-Inputs!$B$5)+((Inputs!$C$69*SIN(($B123))-Inputs!$B$69*COS(($B123)))-Inputs!$B$6)*(F123-Inputs!$B$6))/G123)&lt;$B$16,$B$7/2,$B$8/2)-Inputs!$B$39),IF(OR(Inputs!$C$70=0,((((Inputs!$C$70*COS(($B123))+Inputs!$B$70*SIN(($B123)))-Inputs!$B$5)*(E123-Inputs!$B$5)+((Inputs!$C$70*SIN(($B123))-Inputs!$B$70*COS(($B123)))-Inputs!$B$6)*(F123-Inputs!$B$6))/G123)&lt;0,((((Inputs!$C$70*COS(($B123))+Inputs!$B$70*SIN(($B123)))-Inputs!$B$5)*(E123-Inputs!$B$5)+((Inputs!$C$70*SIN(($B123))-Inputs!$B$70*COS(($B123)))-Inputs!$B$6)*(F123-Inputs!$B$6))/G123)&gt;G123-Inputs!$B$40),999,(ABS((E123-Inputs!$B$5)*((Inputs!$C$70*SIN(($B123))-Inputs!$B$70*COS(($B123)))-Inputs!$B$6)-(F123-Inputs!$B$6)*((Inputs!$C$70*COS(($B123))+Inputs!$B$70*SIN(($B123)))-Inputs!$B$5))/G123)-IF(((((Inputs!$C$70*COS(($B123))+Inputs!$B$70*SIN(($B123)))-Inputs!$B$5)*(E123-Inputs!$B$5)+((Inputs!$C$70*SIN(($B123))-Inputs!$B$70*COS(($B123)))-Inputs!$B$6)*(F123-Inputs!$B$6))/G123)&lt;$B$16,$B$7/2,$B$8/2)-Inputs!$B$39),IF(OR(Inputs!$C$71=0,((((Inputs!$C$71*COS(($B123))+Inputs!$B$71*SIN(($B123)))-Inputs!$B$5)*(E123-Inputs!$B$5)+((Inputs!$C$71*SIN(($B123))-Inputs!$B$71*COS(($B123)))-Inputs!$B$6)*(F123-Inputs!$B$6))/G123)&lt;0,((((Inputs!$C$71*COS(($B123))+Inputs!$B$71*SIN(($B123)))-Inputs!$B$5)*(E123-Inputs!$B$5)+((Inputs!$C$71*SIN(($B123))-Inputs!$B$71*COS(($B123)))-Inputs!$B$6)*(F123-Inputs!$B$6))/G123)&gt;G123-Inputs!$B$40),999,(ABS((E123-Inputs!$B$5)*((Inputs!$C$71*SIN(($B123))-Inputs!$B$71*COS(($B123)))-Inputs!$B$6)-(F123-Inputs!$B$6)*((Inputs!$C$71*COS(($B123))+Inputs!$B$71*SIN(($B123)))-Inputs!$B$5))/G123)-IF(((((Inputs!$C$71*COS(($B123))+Inputs!$B$71*SIN(($B123)))-Inputs!$B$5)*(E123-Inputs!$B$5)+((Inputs!$C$71*SIN(($B123))-Inputs!$B$71*COS(($B123)))-Inputs!$B$6)*(F123-Inputs!$B$6))/G123)&lt;$B$16,$B$7/2,$B$8/2)-Inputs!$B$39),IF(OR(Inputs!$C$72=0,((((Inputs!$C$72*COS(($B123))+Inputs!$B$72*SIN(($B123)))-Inputs!$B$5)*(E123-Inputs!$B$5)+((Inputs!$C$72*SIN(($B123))-Inputs!$B$72*COS(($B123)))-Inputs!$B$6)*(F123-Inputs!$B$6))/G123)&lt;0,((((Inputs!$C$72*COS(($B123))+Inputs!$B$72*SIN(($B123)))-Inputs!$B$5)*(E123-Inputs!$B$5)+((Inputs!$C$72*SIN(($B123))-Inputs!$B$72*COS(($B123)))-Inputs!$B$6)*(F123-Inputs!$B$6))/G123)&gt;G123-Inputs!$B$40),999,(ABS((E123-Inputs!$B$5)*((Inputs!$C$72*SIN(($B123))-Inputs!$B$72*COS(($B123)))-Inputs!$B$6)-(F123-Inputs!$B$6)*((Inputs!$C$72*COS(($B123))+Inputs!$B$72*SIN(($B123)))-Inputs!$B$5))/G123)-IF(((((Inputs!$C$72*COS(($B123))+Inputs!$B$72*SIN(($B123)))-Inputs!$B$5)*(E123-Inputs!$B$5)+((Inputs!$C$72*SIN(($B123))-Inputs!$B$72*COS(($B123)))-Inputs!$B$6)*(F123-Inputs!$B$6))/G123)&lt;$B$16,$B$7/2,$B$8/2)-Inputs!$B$39))</f>
        <v>46.15658334</v>
      </c>
      <c r="J123" s="76">
        <f>IF(AND(G123&gt;=$B$14,G123&lt;=$B$15,H123&lt;=Inputs!$B$38,I123&gt;=0,$D123=1),1,0)</f>
        <v>0</v>
      </c>
      <c r="K123" s="29">
        <f>Inputs!$B$11*COS((-$B123))-Inputs!$B$7*SIN((-$B123))</f>
        <v>21.6702075</v>
      </c>
      <c r="L123" s="29">
        <f>Inputs!$B$11*SIN((-$B123))+Inputs!$B$7*COS((-$B123))</f>
        <v>-220.722865</v>
      </c>
      <c r="M123" s="29">
        <f>SQRT((K123-Inputs!$B$5)^2+(L123-Inputs!$B$6)^2)</f>
        <v>393.6974095</v>
      </c>
      <c r="N123" s="29">
        <f>MAX(MAX(Inputs!$B$5,(Inputs!$B$5+(K123-Inputs!$B$5)*MIN(1,$B$16/M123)))+$B$7/2,MAX((Inputs!$B$5+(K123-Inputs!$B$5)*MIN(1,$B$16/M123)),K123)+Inputs!$B$41)</f>
        <v>291.8</v>
      </c>
      <c r="O123" s="29">
        <f>MIN(IF(OR(Inputs!$C$68=0,((((Inputs!$C$68*COS((-$B123))+Inputs!$B$68*SIN((-$B123)))-Inputs!$B$5)*(K123-Inputs!$B$5)+((Inputs!$C$68*SIN((-$B123))-Inputs!$B$68*COS((-$B123)))-Inputs!$B$6)*(L123-Inputs!$B$6))/M123)&lt;0,((((Inputs!$C$68*COS((-$B123))+Inputs!$B$68*SIN((-$B123)))-Inputs!$B$5)*(K123-Inputs!$B$5)+((Inputs!$C$68*SIN((-$B123))-Inputs!$B$68*COS((-$B123)))-Inputs!$B$6)*(L123-Inputs!$B$6))/M123)&gt;M123-Inputs!$B$40),999,(ABS((K123-Inputs!$B$5)*((Inputs!$C$68*SIN((-$B123))-Inputs!$B$68*COS((-$B123)))-Inputs!$B$6)-(L123-Inputs!$B$6)*((Inputs!$C$68*COS((-$B123))+Inputs!$B$68*SIN((-$B123)))-Inputs!$B$5))/M123)-IF(((((Inputs!$C$68*COS((-$B123))+Inputs!$B$68*SIN((-$B123)))-Inputs!$B$5)*(K123-Inputs!$B$5)+((Inputs!$C$68*SIN((-$B123))-Inputs!$B$68*COS((-$B123)))-Inputs!$B$6)*(L123-Inputs!$B$6))/M123)&lt;$B$16,$B$7/2,$B$8/2)-Inputs!$B$39),IF(OR(Inputs!$C$69=0,((((Inputs!$C$69*COS((-$B123))+Inputs!$B$69*SIN((-$B123)))-Inputs!$B$5)*(K123-Inputs!$B$5)+((Inputs!$C$69*SIN((-$B123))-Inputs!$B$69*COS((-$B123)))-Inputs!$B$6)*(L123-Inputs!$B$6))/M123)&lt;0,((((Inputs!$C$69*COS((-$B123))+Inputs!$B$69*SIN((-$B123)))-Inputs!$B$5)*(K123-Inputs!$B$5)+((Inputs!$C$69*SIN((-$B123))-Inputs!$B$69*COS((-$B123)))-Inputs!$B$6)*(L123-Inputs!$B$6))/M123)&gt;M123-Inputs!$B$40),999,(ABS((K123-Inputs!$B$5)*((Inputs!$C$69*SIN((-$B123))-Inputs!$B$69*COS((-$B123)))-Inputs!$B$6)-(L123-Inputs!$B$6)*((Inputs!$C$69*COS((-$B123))+Inputs!$B$69*SIN((-$B123)))-Inputs!$B$5))/M123)-IF(((((Inputs!$C$69*COS((-$B123))+Inputs!$B$69*SIN((-$B123)))-Inputs!$B$5)*(K123-Inputs!$B$5)+((Inputs!$C$69*SIN((-$B123))-Inputs!$B$69*COS((-$B123)))-Inputs!$B$6)*(L123-Inputs!$B$6))/M123)&lt;$B$16,$B$7/2,$B$8/2)-Inputs!$B$39),IF(OR(Inputs!$C$70=0,((((Inputs!$C$70*COS((-$B123))+Inputs!$B$70*SIN((-$B123)))-Inputs!$B$5)*(K123-Inputs!$B$5)+((Inputs!$C$70*SIN((-$B123))-Inputs!$B$70*COS((-$B123)))-Inputs!$B$6)*(L123-Inputs!$B$6))/M123)&lt;0,((((Inputs!$C$70*COS((-$B123))+Inputs!$B$70*SIN((-$B123)))-Inputs!$B$5)*(K123-Inputs!$B$5)+((Inputs!$C$70*SIN((-$B123))-Inputs!$B$70*COS((-$B123)))-Inputs!$B$6)*(L123-Inputs!$B$6))/M123)&gt;M123-Inputs!$B$40),999,(ABS((K123-Inputs!$B$5)*((Inputs!$C$70*SIN((-$B123))-Inputs!$B$70*COS((-$B123)))-Inputs!$B$6)-(L123-Inputs!$B$6)*((Inputs!$C$70*COS((-$B123))+Inputs!$B$70*SIN((-$B123)))-Inputs!$B$5))/M123)-IF(((((Inputs!$C$70*COS((-$B123))+Inputs!$B$70*SIN((-$B123)))-Inputs!$B$5)*(K123-Inputs!$B$5)+((Inputs!$C$70*SIN((-$B123))-Inputs!$B$70*COS((-$B123)))-Inputs!$B$6)*(L123-Inputs!$B$6))/M123)&lt;$B$16,$B$7/2,$B$8/2)-Inputs!$B$39),IF(OR(Inputs!$C$71=0,((((Inputs!$C$71*COS((-$B123))+Inputs!$B$71*SIN((-$B123)))-Inputs!$B$5)*(K123-Inputs!$B$5)+((Inputs!$C$71*SIN((-$B123))-Inputs!$B$71*COS((-$B123)))-Inputs!$B$6)*(L123-Inputs!$B$6))/M123)&lt;0,((((Inputs!$C$71*COS((-$B123))+Inputs!$B$71*SIN((-$B123)))-Inputs!$B$5)*(K123-Inputs!$B$5)+((Inputs!$C$71*SIN((-$B123))-Inputs!$B$71*COS((-$B123)))-Inputs!$B$6)*(L123-Inputs!$B$6))/M123)&gt;M123-Inputs!$B$40),999,(ABS((K123-Inputs!$B$5)*((Inputs!$C$71*SIN((-$B123))-Inputs!$B$71*COS((-$B123)))-Inputs!$B$6)-(L123-Inputs!$B$6)*((Inputs!$C$71*COS((-$B123))+Inputs!$B$71*SIN((-$B123)))-Inputs!$B$5))/M123)-IF(((((Inputs!$C$71*COS((-$B123))+Inputs!$B$71*SIN((-$B123)))-Inputs!$B$5)*(K123-Inputs!$B$5)+((Inputs!$C$71*SIN((-$B123))-Inputs!$B$71*COS((-$B123)))-Inputs!$B$6)*(L123-Inputs!$B$6))/M123)&lt;$B$16,$B$7/2,$B$8/2)-Inputs!$B$39),IF(OR(Inputs!$C$72=0,((((Inputs!$C$72*COS((-$B123))+Inputs!$B$72*SIN((-$B123)))-Inputs!$B$5)*(K123-Inputs!$B$5)+((Inputs!$C$72*SIN((-$B123))-Inputs!$B$72*COS((-$B123)))-Inputs!$B$6)*(L123-Inputs!$B$6))/M123)&lt;0,((((Inputs!$C$72*COS((-$B123))+Inputs!$B$72*SIN((-$B123)))-Inputs!$B$5)*(K123-Inputs!$B$5)+((Inputs!$C$72*SIN((-$B123))-Inputs!$B$72*COS((-$B123)))-Inputs!$B$6)*(L123-Inputs!$B$6))/M123)&gt;M123-Inputs!$B$40),999,(ABS((K123-Inputs!$B$5)*((Inputs!$C$72*SIN((-$B123))-Inputs!$B$72*COS((-$B123)))-Inputs!$B$6)-(L123-Inputs!$B$6)*((Inputs!$C$72*COS((-$B123))+Inputs!$B$72*SIN((-$B123)))-Inputs!$B$5))/M123)-IF(((((Inputs!$C$72*COS((-$B123))+Inputs!$B$72*SIN((-$B123)))-Inputs!$B$5)*(K123-Inputs!$B$5)+((Inputs!$C$72*SIN((-$B123))-Inputs!$B$72*COS((-$B123)))-Inputs!$B$6)*(L123-Inputs!$B$6))/M123)&lt;$B$16,$B$7/2,$B$8/2)-Inputs!$B$39))</f>
        <v>25.92945626</v>
      </c>
      <c r="P123" s="76">
        <f>IF(AND(M123&gt;=$B$14,M123&lt;=$B$15,N123&lt;=Inputs!$B$38,O123&gt;=0,$D123=1),1,0)</f>
        <v>0</v>
      </c>
    </row>
    <row r="124" ht="15.75" customHeight="1">
      <c r="A124" s="23">
        <v>20.25</v>
      </c>
      <c r="B124" s="40">
        <f t="shared" si="4"/>
        <v>0.3534291735</v>
      </c>
      <c r="C124" s="29">
        <f>MAX(Inputs!$C$68*COS($B124)+Inputs!$B$68*ABS(SIN($B124)),Inputs!$C$69*COS($B124)+Inputs!$B$69*ABS(SIN($B124)),Inputs!$C$70*COS($B124)+Inputs!$B$70*ABS(SIN($B124)),Inputs!$C$71*COS($B124)+Inputs!$B$71*ABS(SIN($B124)),Inputs!$C$72*COS($B124)+Inputs!$B$72*ABS(SIN($B124)))</f>
        <v>212.1063716</v>
      </c>
      <c r="D124" s="108">
        <f>IF(C124&lt;=Inputs!$B$38,1,0)</f>
        <v>1</v>
      </c>
      <c r="E124" s="29">
        <f>Inputs!$B$11*COS(($B124))-Inputs!$B$7*SIN(($B124))</f>
        <v>159.1537419</v>
      </c>
      <c r="F124" s="29">
        <f>Inputs!$B$11*SIN(($B124))+Inputs!$B$7*COS(($B124))</f>
        <v>-154.4612167</v>
      </c>
      <c r="G124" s="29">
        <f>SQRT((E124-Inputs!$B$5)^2+(F124-Inputs!$B$6)^2)</f>
        <v>270.1916975</v>
      </c>
      <c r="H124" s="29">
        <f>MAX(MAX(Inputs!$B$5,(Inputs!$B$5+(E124-Inputs!$B$5)*MIN(1,$B$16/G124)))+$B$7/2,MAX((Inputs!$B$5+(E124-Inputs!$B$5)*MIN(1,$B$16/G124)),E124)+Inputs!$B$41)</f>
        <v>291.8</v>
      </c>
      <c r="I124" s="29">
        <f>MIN(IF(OR(Inputs!$C$68=0,((((Inputs!$C$68*COS(($B124))+Inputs!$B$68*SIN(($B124)))-Inputs!$B$5)*(E124-Inputs!$B$5)+((Inputs!$C$68*SIN(($B124))-Inputs!$B$68*COS(($B124)))-Inputs!$B$6)*(F124-Inputs!$B$6))/G124)&lt;0,((((Inputs!$C$68*COS(($B124))+Inputs!$B$68*SIN(($B124)))-Inputs!$B$5)*(E124-Inputs!$B$5)+((Inputs!$C$68*SIN(($B124))-Inputs!$B$68*COS(($B124)))-Inputs!$B$6)*(F124-Inputs!$B$6))/G124)&gt;G124-Inputs!$B$40),999,(ABS((E124-Inputs!$B$5)*((Inputs!$C$68*SIN(($B124))-Inputs!$B$68*COS(($B124)))-Inputs!$B$6)-(F124-Inputs!$B$6)*((Inputs!$C$68*COS(($B124))+Inputs!$B$68*SIN(($B124)))-Inputs!$B$5))/G124)-IF(((((Inputs!$C$68*COS(($B124))+Inputs!$B$68*SIN(($B124)))-Inputs!$B$5)*(E124-Inputs!$B$5)+((Inputs!$C$68*SIN(($B124))-Inputs!$B$68*COS(($B124)))-Inputs!$B$6)*(F124-Inputs!$B$6))/G124)&lt;$B$16,$B$7/2,$B$8/2)-Inputs!$B$39),IF(OR(Inputs!$C$69=0,((((Inputs!$C$69*COS(($B124))+Inputs!$B$69*SIN(($B124)))-Inputs!$B$5)*(E124-Inputs!$B$5)+((Inputs!$C$69*SIN(($B124))-Inputs!$B$69*COS(($B124)))-Inputs!$B$6)*(F124-Inputs!$B$6))/G124)&lt;0,((((Inputs!$C$69*COS(($B124))+Inputs!$B$69*SIN(($B124)))-Inputs!$B$5)*(E124-Inputs!$B$5)+((Inputs!$C$69*SIN(($B124))-Inputs!$B$69*COS(($B124)))-Inputs!$B$6)*(F124-Inputs!$B$6))/G124)&gt;G124-Inputs!$B$40),999,(ABS((E124-Inputs!$B$5)*((Inputs!$C$69*SIN(($B124))-Inputs!$B$69*COS(($B124)))-Inputs!$B$6)-(F124-Inputs!$B$6)*((Inputs!$C$69*COS(($B124))+Inputs!$B$69*SIN(($B124)))-Inputs!$B$5))/G124)-IF(((((Inputs!$C$69*COS(($B124))+Inputs!$B$69*SIN(($B124)))-Inputs!$B$5)*(E124-Inputs!$B$5)+((Inputs!$C$69*SIN(($B124))-Inputs!$B$69*COS(($B124)))-Inputs!$B$6)*(F124-Inputs!$B$6))/G124)&lt;$B$16,$B$7/2,$B$8/2)-Inputs!$B$39),IF(OR(Inputs!$C$70=0,((((Inputs!$C$70*COS(($B124))+Inputs!$B$70*SIN(($B124)))-Inputs!$B$5)*(E124-Inputs!$B$5)+((Inputs!$C$70*SIN(($B124))-Inputs!$B$70*COS(($B124)))-Inputs!$B$6)*(F124-Inputs!$B$6))/G124)&lt;0,((((Inputs!$C$70*COS(($B124))+Inputs!$B$70*SIN(($B124)))-Inputs!$B$5)*(E124-Inputs!$B$5)+((Inputs!$C$70*SIN(($B124))-Inputs!$B$70*COS(($B124)))-Inputs!$B$6)*(F124-Inputs!$B$6))/G124)&gt;G124-Inputs!$B$40),999,(ABS((E124-Inputs!$B$5)*((Inputs!$C$70*SIN(($B124))-Inputs!$B$70*COS(($B124)))-Inputs!$B$6)-(F124-Inputs!$B$6)*((Inputs!$C$70*COS(($B124))+Inputs!$B$70*SIN(($B124)))-Inputs!$B$5))/G124)-IF(((((Inputs!$C$70*COS(($B124))+Inputs!$B$70*SIN(($B124)))-Inputs!$B$5)*(E124-Inputs!$B$5)+((Inputs!$C$70*SIN(($B124))-Inputs!$B$70*COS(($B124)))-Inputs!$B$6)*(F124-Inputs!$B$6))/G124)&lt;$B$16,$B$7/2,$B$8/2)-Inputs!$B$39),IF(OR(Inputs!$C$71=0,((((Inputs!$C$71*COS(($B124))+Inputs!$B$71*SIN(($B124)))-Inputs!$B$5)*(E124-Inputs!$B$5)+((Inputs!$C$71*SIN(($B124))-Inputs!$B$71*COS(($B124)))-Inputs!$B$6)*(F124-Inputs!$B$6))/G124)&lt;0,((((Inputs!$C$71*COS(($B124))+Inputs!$B$71*SIN(($B124)))-Inputs!$B$5)*(E124-Inputs!$B$5)+((Inputs!$C$71*SIN(($B124))-Inputs!$B$71*COS(($B124)))-Inputs!$B$6)*(F124-Inputs!$B$6))/G124)&gt;G124-Inputs!$B$40),999,(ABS((E124-Inputs!$B$5)*((Inputs!$C$71*SIN(($B124))-Inputs!$B$71*COS(($B124)))-Inputs!$B$6)-(F124-Inputs!$B$6)*((Inputs!$C$71*COS(($B124))+Inputs!$B$71*SIN(($B124)))-Inputs!$B$5))/G124)-IF(((((Inputs!$C$71*COS(($B124))+Inputs!$B$71*SIN(($B124)))-Inputs!$B$5)*(E124-Inputs!$B$5)+((Inputs!$C$71*SIN(($B124))-Inputs!$B$71*COS(($B124)))-Inputs!$B$6)*(F124-Inputs!$B$6))/G124)&lt;$B$16,$B$7/2,$B$8/2)-Inputs!$B$39),IF(OR(Inputs!$C$72=0,((((Inputs!$C$72*COS(($B124))+Inputs!$B$72*SIN(($B124)))-Inputs!$B$5)*(E124-Inputs!$B$5)+((Inputs!$C$72*SIN(($B124))-Inputs!$B$72*COS(($B124)))-Inputs!$B$6)*(F124-Inputs!$B$6))/G124)&lt;0,((((Inputs!$C$72*COS(($B124))+Inputs!$B$72*SIN(($B124)))-Inputs!$B$5)*(E124-Inputs!$B$5)+((Inputs!$C$72*SIN(($B124))-Inputs!$B$72*COS(($B124)))-Inputs!$B$6)*(F124-Inputs!$B$6))/G124)&gt;G124-Inputs!$B$40),999,(ABS((E124-Inputs!$B$5)*((Inputs!$C$72*SIN(($B124))-Inputs!$B$72*COS(($B124)))-Inputs!$B$6)-(F124-Inputs!$B$6)*((Inputs!$C$72*COS(($B124))+Inputs!$B$72*SIN(($B124)))-Inputs!$B$5))/G124)-IF(((((Inputs!$C$72*COS(($B124))+Inputs!$B$72*SIN(($B124)))-Inputs!$B$5)*(E124-Inputs!$B$5)+((Inputs!$C$72*SIN(($B124))-Inputs!$B$72*COS(($B124)))-Inputs!$B$6)*(F124-Inputs!$B$6))/G124)&lt;$B$16,$B$7/2,$B$8/2)-Inputs!$B$39))</f>
        <v>46.33145535</v>
      </c>
      <c r="J124" s="76">
        <f>IF(AND(G124&gt;=$B$14,G124&lt;=$B$15,H124&lt;=Inputs!$B$38,I124&gt;=0,$D124=1),1,0)</f>
        <v>0</v>
      </c>
      <c r="K124" s="29">
        <f>Inputs!$B$11*COS((-$B124))-Inputs!$B$7*SIN((-$B124))</f>
        <v>20.70691909</v>
      </c>
      <c r="L124" s="29">
        <f>Inputs!$B$11*SIN((-$B124))+Inputs!$B$7*COS((-$B124))</f>
        <v>-220.8153177</v>
      </c>
      <c r="M124" s="29">
        <f>SQRT((K124-Inputs!$B$5)^2+(L124-Inputs!$B$6)^2)</f>
        <v>394.3320745</v>
      </c>
      <c r="N124" s="29">
        <f>MAX(MAX(Inputs!$B$5,(Inputs!$B$5+(K124-Inputs!$B$5)*MIN(1,$B$16/M124)))+$B$7/2,MAX((Inputs!$B$5+(K124-Inputs!$B$5)*MIN(1,$B$16/M124)),K124)+Inputs!$B$41)</f>
        <v>291.8</v>
      </c>
      <c r="O124" s="29">
        <f>MIN(IF(OR(Inputs!$C$68=0,((((Inputs!$C$68*COS((-$B124))+Inputs!$B$68*SIN((-$B124)))-Inputs!$B$5)*(K124-Inputs!$B$5)+((Inputs!$C$68*SIN((-$B124))-Inputs!$B$68*COS((-$B124)))-Inputs!$B$6)*(L124-Inputs!$B$6))/M124)&lt;0,((((Inputs!$C$68*COS((-$B124))+Inputs!$B$68*SIN((-$B124)))-Inputs!$B$5)*(K124-Inputs!$B$5)+((Inputs!$C$68*SIN((-$B124))-Inputs!$B$68*COS((-$B124)))-Inputs!$B$6)*(L124-Inputs!$B$6))/M124)&gt;M124-Inputs!$B$40),999,(ABS((K124-Inputs!$B$5)*((Inputs!$C$68*SIN((-$B124))-Inputs!$B$68*COS((-$B124)))-Inputs!$B$6)-(L124-Inputs!$B$6)*((Inputs!$C$68*COS((-$B124))+Inputs!$B$68*SIN((-$B124)))-Inputs!$B$5))/M124)-IF(((((Inputs!$C$68*COS((-$B124))+Inputs!$B$68*SIN((-$B124)))-Inputs!$B$5)*(K124-Inputs!$B$5)+((Inputs!$C$68*SIN((-$B124))-Inputs!$B$68*COS((-$B124)))-Inputs!$B$6)*(L124-Inputs!$B$6))/M124)&lt;$B$16,$B$7/2,$B$8/2)-Inputs!$B$39),IF(OR(Inputs!$C$69=0,((((Inputs!$C$69*COS((-$B124))+Inputs!$B$69*SIN((-$B124)))-Inputs!$B$5)*(K124-Inputs!$B$5)+((Inputs!$C$69*SIN((-$B124))-Inputs!$B$69*COS((-$B124)))-Inputs!$B$6)*(L124-Inputs!$B$6))/M124)&lt;0,((((Inputs!$C$69*COS((-$B124))+Inputs!$B$69*SIN((-$B124)))-Inputs!$B$5)*(K124-Inputs!$B$5)+((Inputs!$C$69*SIN((-$B124))-Inputs!$B$69*COS((-$B124)))-Inputs!$B$6)*(L124-Inputs!$B$6))/M124)&gt;M124-Inputs!$B$40),999,(ABS((K124-Inputs!$B$5)*((Inputs!$C$69*SIN((-$B124))-Inputs!$B$69*COS((-$B124)))-Inputs!$B$6)-(L124-Inputs!$B$6)*((Inputs!$C$69*COS((-$B124))+Inputs!$B$69*SIN((-$B124)))-Inputs!$B$5))/M124)-IF(((((Inputs!$C$69*COS((-$B124))+Inputs!$B$69*SIN((-$B124)))-Inputs!$B$5)*(K124-Inputs!$B$5)+((Inputs!$C$69*SIN((-$B124))-Inputs!$B$69*COS((-$B124)))-Inputs!$B$6)*(L124-Inputs!$B$6))/M124)&lt;$B$16,$B$7/2,$B$8/2)-Inputs!$B$39),IF(OR(Inputs!$C$70=0,((((Inputs!$C$70*COS((-$B124))+Inputs!$B$70*SIN((-$B124)))-Inputs!$B$5)*(K124-Inputs!$B$5)+((Inputs!$C$70*SIN((-$B124))-Inputs!$B$70*COS((-$B124)))-Inputs!$B$6)*(L124-Inputs!$B$6))/M124)&lt;0,((((Inputs!$C$70*COS((-$B124))+Inputs!$B$70*SIN((-$B124)))-Inputs!$B$5)*(K124-Inputs!$B$5)+((Inputs!$C$70*SIN((-$B124))-Inputs!$B$70*COS((-$B124)))-Inputs!$B$6)*(L124-Inputs!$B$6))/M124)&gt;M124-Inputs!$B$40),999,(ABS((K124-Inputs!$B$5)*((Inputs!$C$70*SIN((-$B124))-Inputs!$B$70*COS((-$B124)))-Inputs!$B$6)-(L124-Inputs!$B$6)*((Inputs!$C$70*COS((-$B124))+Inputs!$B$70*SIN((-$B124)))-Inputs!$B$5))/M124)-IF(((((Inputs!$C$70*COS((-$B124))+Inputs!$B$70*SIN((-$B124)))-Inputs!$B$5)*(K124-Inputs!$B$5)+((Inputs!$C$70*SIN((-$B124))-Inputs!$B$70*COS((-$B124)))-Inputs!$B$6)*(L124-Inputs!$B$6))/M124)&lt;$B$16,$B$7/2,$B$8/2)-Inputs!$B$39),IF(OR(Inputs!$C$71=0,((((Inputs!$C$71*COS((-$B124))+Inputs!$B$71*SIN((-$B124)))-Inputs!$B$5)*(K124-Inputs!$B$5)+((Inputs!$C$71*SIN((-$B124))-Inputs!$B$71*COS((-$B124)))-Inputs!$B$6)*(L124-Inputs!$B$6))/M124)&lt;0,((((Inputs!$C$71*COS((-$B124))+Inputs!$B$71*SIN((-$B124)))-Inputs!$B$5)*(K124-Inputs!$B$5)+((Inputs!$C$71*SIN((-$B124))-Inputs!$B$71*COS((-$B124)))-Inputs!$B$6)*(L124-Inputs!$B$6))/M124)&gt;M124-Inputs!$B$40),999,(ABS((K124-Inputs!$B$5)*((Inputs!$C$71*SIN((-$B124))-Inputs!$B$71*COS((-$B124)))-Inputs!$B$6)-(L124-Inputs!$B$6)*((Inputs!$C$71*COS((-$B124))+Inputs!$B$71*SIN((-$B124)))-Inputs!$B$5))/M124)-IF(((((Inputs!$C$71*COS((-$B124))+Inputs!$B$71*SIN((-$B124)))-Inputs!$B$5)*(K124-Inputs!$B$5)+((Inputs!$C$71*SIN((-$B124))-Inputs!$B$71*COS((-$B124)))-Inputs!$B$6)*(L124-Inputs!$B$6))/M124)&lt;$B$16,$B$7/2,$B$8/2)-Inputs!$B$39),IF(OR(Inputs!$C$72=0,((((Inputs!$C$72*COS((-$B124))+Inputs!$B$72*SIN((-$B124)))-Inputs!$B$5)*(K124-Inputs!$B$5)+((Inputs!$C$72*SIN((-$B124))-Inputs!$B$72*COS((-$B124)))-Inputs!$B$6)*(L124-Inputs!$B$6))/M124)&lt;0,((((Inputs!$C$72*COS((-$B124))+Inputs!$B$72*SIN((-$B124)))-Inputs!$B$5)*(K124-Inputs!$B$5)+((Inputs!$C$72*SIN((-$B124))-Inputs!$B$72*COS((-$B124)))-Inputs!$B$6)*(L124-Inputs!$B$6))/M124)&gt;M124-Inputs!$B$40),999,(ABS((K124-Inputs!$B$5)*((Inputs!$C$72*SIN((-$B124))-Inputs!$B$72*COS((-$B124)))-Inputs!$B$6)-(L124-Inputs!$B$6)*((Inputs!$C$72*COS((-$B124))+Inputs!$B$72*SIN((-$B124)))-Inputs!$B$5))/M124)-IF(((((Inputs!$C$72*COS((-$B124))+Inputs!$B$72*SIN((-$B124)))-Inputs!$B$5)*(K124-Inputs!$B$5)+((Inputs!$C$72*SIN((-$B124))-Inputs!$B$72*COS((-$B124)))-Inputs!$B$6)*(L124-Inputs!$B$6))/M124)&lt;$B$16,$B$7/2,$B$8/2)-Inputs!$B$39))</f>
        <v>25.59536185</v>
      </c>
      <c r="P124" s="76">
        <f>IF(AND(M124&gt;=$B$14,M124&lt;=$B$15,N124&lt;=Inputs!$B$38,O124&gt;=0,$D124=1),1,0)</f>
        <v>0</v>
      </c>
    </row>
    <row r="125" ht="15.75" customHeight="1">
      <c r="A125" s="23">
        <v>20.5</v>
      </c>
      <c r="B125" s="40">
        <f t="shared" si="4"/>
        <v>0.3577924967</v>
      </c>
      <c r="C125" s="29">
        <f>MAX(Inputs!$C$68*COS($B125)+Inputs!$B$68*ABS(SIN($B125)),Inputs!$C$69*COS($B125)+Inputs!$B$69*ABS(SIN($B125)),Inputs!$C$70*COS($B125)+Inputs!$B$70*ABS(SIN($B125)),Inputs!$C$71*COS($B125)+Inputs!$B$71*ABS(SIN($B125)),Inputs!$C$72*COS($B125)+Inputs!$B$72*ABS(SIN($B125)))</f>
        <v>213.6170813</v>
      </c>
      <c r="D125" s="108">
        <f>IF(C125&lt;=Inputs!$B$38,1,0)</f>
        <v>1</v>
      </c>
      <c r="E125" s="29">
        <f>Inputs!$B$11*COS(($B125))-Inputs!$B$7*SIN(($B125))</f>
        <v>159.826189</v>
      </c>
      <c r="F125" s="29">
        <f>Inputs!$B$11*SIN(($B125))+Inputs!$B$7*COS(($B125))</f>
        <v>-153.7653093</v>
      </c>
      <c r="G125" s="29">
        <f>SQRT((E125-Inputs!$B$5)^2+(F125-Inputs!$B$6)^2)</f>
        <v>269.3105056</v>
      </c>
      <c r="H125" s="29">
        <f>MAX(MAX(Inputs!$B$5,(Inputs!$B$5+(E125-Inputs!$B$5)*MIN(1,$B$16/G125)))+$B$7/2,MAX((Inputs!$B$5+(E125-Inputs!$B$5)*MIN(1,$B$16/G125)),E125)+Inputs!$B$41)</f>
        <v>291.8</v>
      </c>
      <c r="I125" s="29">
        <f>MIN(IF(OR(Inputs!$C$68=0,((((Inputs!$C$68*COS(($B125))+Inputs!$B$68*SIN(($B125)))-Inputs!$B$5)*(E125-Inputs!$B$5)+((Inputs!$C$68*SIN(($B125))-Inputs!$B$68*COS(($B125)))-Inputs!$B$6)*(F125-Inputs!$B$6))/G125)&lt;0,((((Inputs!$C$68*COS(($B125))+Inputs!$B$68*SIN(($B125)))-Inputs!$B$5)*(E125-Inputs!$B$5)+((Inputs!$C$68*SIN(($B125))-Inputs!$B$68*COS(($B125)))-Inputs!$B$6)*(F125-Inputs!$B$6))/G125)&gt;G125-Inputs!$B$40),999,(ABS((E125-Inputs!$B$5)*((Inputs!$C$68*SIN(($B125))-Inputs!$B$68*COS(($B125)))-Inputs!$B$6)-(F125-Inputs!$B$6)*((Inputs!$C$68*COS(($B125))+Inputs!$B$68*SIN(($B125)))-Inputs!$B$5))/G125)-IF(((((Inputs!$C$68*COS(($B125))+Inputs!$B$68*SIN(($B125)))-Inputs!$B$5)*(E125-Inputs!$B$5)+((Inputs!$C$68*SIN(($B125))-Inputs!$B$68*COS(($B125)))-Inputs!$B$6)*(F125-Inputs!$B$6))/G125)&lt;$B$16,$B$7/2,$B$8/2)-Inputs!$B$39),IF(OR(Inputs!$C$69=0,((((Inputs!$C$69*COS(($B125))+Inputs!$B$69*SIN(($B125)))-Inputs!$B$5)*(E125-Inputs!$B$5)+((Inputs!$C$69*SIN(($B125))-Inputs!$B$69*COS(($B125)))-Inputs!$B$6)*(F125-Inputs!$B$6))/G125)&lt;0,((((Inputs!$C$69*COS(($B125))+Inputs!$B$69*SIN(($B125)))-Inputs!$B$5)*(E125-Inputs!$B$5)+((Inputs!$C$69*SIN(($B125))-Inputs!$B$69*COS(($B125)))-Inputs!$B$6)*(F125-Inputs!$B$6))/G125)&gt;G125-Inputs!$B$40),999,(ABS((E125-Inputs!$B$5)*((Inputs!$C$69*SIN(($B125))-Inputs!$B$69*COS(($B125)))-Inputs!$B$6)-(F125-Inputs!$B$6)*((Inputs!$C$69*COS(($B125))+Inputs!$B$69*SIN(($B125)))-Inputs!$B$5))/G125)-IF(((((Inputs!$C$69*COS(($B125))+Inputs!$B$69*SIN(($B125)))-Inputs!$B$5)*(E125-Inputs!$B$5)+((Inputs!$C$69*SIN(($B125))-Inputs!$B$69*COS(($B125)))-Inputs!$B$6)*(F125-Inputs!$B$6))/G125)&lt;$B$16,$B$7/2,$B$8/2)-Inputs!$B$39),IF(OR(Inputs!$C$70=0,((((Inputs!$C$70*COS(($B125))+Inputs!$B$70*SIN(($B125)))-Inputs!$B$5)*(E125-Inputs!$B$5)+((Inputs!$C$70*SIN(($B125))-Inputs!$B$70*COS(($B125)))-Inputs!$B$6)*(F125-Inputs!$B$6))/G125)&lt;0,((((Inputs!$C$70*COS(($B125))+Inputs!$B$70*SIN(($B125)))-Inputs!$B$5)*(E125-Inputs!$B$5)+((Inputs!$C$70*SIN(($B125))-Inputs!$B$70*COS(($B125)))-Inputs!$B$6)*(F125-Inputs!$B$6))/G125)&gt;G125-Inputs!$B$40),999,(ABS((E125-Inputs!$B$5)*((Inputs!$C$70*SIN(($B125))-Inputs!$B$70*COS(($B125)))-Inputs!$B$6)-(F125-Inputs!$B$6)*((Inputs!$C$70*COS(($B125))+Inputs!$B$70*SIN(($B125)))-Inputs!$B$5))/G125)-IF(((((Inputs!$C$70*COS(($B125))+Inputs!$B$70*SIN(($B125)))-Inputs!$B$5)*(E125-Inputs!$B$5)+((Inputs!$C$70*SIN(($B125))-Inputs!$B$70*COS(($B125)))-Inputs!$B$6)*(F125-Inputs!$B$6))/G125)&lt;$B$16,$B$7/2,$B$8/2)-Inputs!$B$39),IF(OR(Inputs!$C$71=0,((((Inputs!$C$71*COS(($B125))+Inputs!$B$71*SIN(($B125)))-Inputs!$B$5)*(E125-Inputs!$B$5)+((Inputs!$C$71*SIN(($B125))-Inputs!$B$71*COS(($B125)))-Inputs!$B$6)*(F125-Inputs!$B$6))/G125)&lt;0,((((Inputs!$C$71*COS(($B125))+Inputs!$B$71*SIN(($B125)))-Inputs!$B$5)*(E125-Inputs!$B$5)+((Inputs!$C$71*SIN(($B125))-Inputs!$B$71*COS(($B125)))-Inputs!$B$6)*(F125-Inputs!$B$6))/G125)&gt;G125-Inputs!$B$40),999,(ABS((E125-Inputs!$B$5)*((Inputs!$C$71*SIN(($B125))-Inputs!$B$71*COS(($B125)))-Inputs!$B$6)-(F125-Inputs!$B$6)*((Inputs!$C$71*COS(($B125))+Inputs!$B$71*SIN(($B125)))-Inputs!$B$5))/G125)-IF(((((Inputs!$C$71*COS(($B125))+Inputs!$B$71*SIN(($B125)))-Inputs!$B$5)*(E125-Inputs!$B$5)+((Inputs!$C$71*SIN(($B125))-Inputs!$B$71*COS(($B125)))-Inputs!$B$6)*(F125-Inputs!$B$6))/G125)&lt;$B$16,$B$7/2,$B$8/2)-Inputs!$B$39),IF(OR(Inputs!$C$72=0,((((Inputs!$C$72*COS(($B125))+Inputs!$B$72*SIN(($B125)))-Inputs!$B$5)*(E125-Inputs!$B$5)+((Inputs!$C$72*SIN(($B125))-Inputs!$B$72*COS(($B125)))-Inputs!$B$6)*(F125-Inputs!$B$6))/G125)&lt;0,((((Inputs!$C$72*COS(($B125))+Inputs!$B$72*SIN(($B125)))-Inputs!$B$5)*(E125-Inputs!$B$5)+((Inputs!$C$72*SIN(($B125))-Inputs!$B$72*COS(($B125)))-Inputs!$B$6)*(F125-Inputs!$B$6))/G125)&gt;G125-Inputs!$B$40),999,(ABS((E125-Inputs!$B$5)*((Inputs!$C$72*SIN(($B125))-Inputs!$B$72*COS(($B125)))-Inputs!$B$6)-(F125-Inputs!$B$6)*((Inputs!$C$72*COS(($B125))+Inputs!$B$72*SIN(($B125)))-Inputs!$B$5))/G125)-IF(((((Inputs!$C$72*COS(($B125))+Inputs!$B$72*SIN(($B125)))-Inputs!$B$5)*(E125-Inputs!$B$5)+((Inputs!$C$72*SIN(($B125))-Inputs!$B$72*COS(($B125)))-Inputs!$B$6)*(F125-Inputs!$B$6))/G125)&lt;$B$16,$B$7/2,$B$8/2)-Inputs!$B$39))</f>
        <v>46.50584787</v>
      </c>
      <c r="J125" s="76">
        <f>IF(AND(G125&gt;=$B$14,G125&lt;=$B$15,H125&lt;=Inputs!$B$38,I125&gt;=0,$D125=1),1,0)</f>
        <v>0</v>
      </c>
      <c r="K125" s="29">
        <f>Inputs!$B$11*COS((-$B125))-Inputs!$B$7*SIN((-$B125))</f>
        <v>19.74323645</v>
      </c>
      <c r="L125" s="29">
        <f>Inputs!$B$11*SIN((-$B125))+Inputs!$B$7*COS((-$B125))</f>
        <v>-220.9035664</v>
      </c>
      <c r="M125" s="29">
        <f>SQRT((K125-Inputs!$B$5)^2+(L125-Inputs!$B$6)^2)</f>
        <v>394.9649049</v>
      </c>
      <c r="N125" s="29">
        <f>MAX(MAX(Inputs!$B$5,(Inputs!$B$5+(K125-Inputs!$B$5)*MIN(1,$B$16/M125)))+$B$7/2,MAX((Inputs!$B$5+(K125-Inputs!$B$5)*MIN(1,$B$16/M125)),K125)+Inputs!$B$41)</f>
        <v>291.8</v>
      </c>
      <c r="O125" s="29">
        <f>MIN(IF(OR(Inputs!$C$68=0,((((Inputs!$C$68*COS((-$B125))+Inputs!$B$68*SIN((-$B125)))-Inputs!$B$5)*(K125-Inputs!$B$5)+((Inputs!$C$68*SIN((-$B125))-Inputs!$B$68*COS((-$B125)))-Inputs!$B$6)*(L125-Inputs!$B$6))/M125)&lt;0,((((Inputs!$C$68*COS((-$B125))+Inputs!$B$68*SIN((-$B125)))-Inputs!$B$5)*(K125-Inputs!$B$5)+((Inputs!$C$68*SIN((-$B125))-Inputs!$B$68*COS((-$B125)))-Inputs!$B$6)*(L125-Inputs!$B$6))/M125)&gt;M125-Inputs!$B$40),999,(ABS((K125-Inputs!$B$5)*((Inputs!$C$68*SIN((-$B125))-Inputs!$B$68*COS((-$B125)))-Inputs!$B$6)-(L125-Inputs!$B$6)*((Inputs!$C$68*COS((-$B125))+Inputs!$B$68*SIN((-$B125)))-Inputs!$B$5))/M125)-IF(((((Inputs!$C$68*COS((-$B125))+Inputs!$B$68*SIN((-$B125)))-Inputs!$B$5)*(K125-Inputs!$B$5)+((Inputs!$C$68*SIN((-$B125))-Inputs!$B$68*COS((-$B125)))-Inputs!$B$6)*(L125-Inputs!$B$6))/M125)&lt;$B$16,$B$7/2,$B$8/2)-Inputs!$B$39),IF(OR(Inputs!$C$69=0,((((Inputs!$C$69*COS((-$B125))+Inputs!$B$69*SIN((-$B125)))-Inputs!$B$5)*(K125-Inputs!$B$5)+((Inputs!$C$69*SIN((-$B125))-Inputs!$B$69*COS((-$B125)))-Inputs!$B$6)*(L125-Inputs!$B$6))/M125)&lt;0,((((Inputs!$C$69*COS((-$B125))+Inputs!$B$69*SIN((-$B125)))-Inputs!$B$5)*(K125-Inputs!$B$5)+((Inputs!$C$69*SIN((-$B125))-Inputs!$B$69*COS((-$B125)))-Inputs!$B$6)*(L125-Inputs!$B$6))/M125)&gt;M125-Inputs!$B$40),999,(ABS((K125-Inputs!$B$5)*((Inputs!$C$69*SIN((-$B125))-Inputs!$B$69*COS((-$B125)))-Inputs!$B$6)-(L125-Inputs!$B$6)*((Inputs!$C$69*COS((-$B125))+Inputs!$B$69*SIN((-$B125)))-Inputs!$B$5))/M125)-IF(((((Inputs!$C$69*COS((-$B125))+Inputs!$B$69*SIN((-$B125)))-Inputs!$B$5)*(K125-Inputs!$B$5)+((Inputs!$C$69*SIN((-$B125))-Inputs!$B$69*COS((-$B125)))-Inputs!$B$6)*(L125-Inputs!$B$6))/M125)&lt;$B$16,$B$7/2,$B$8/2)-Inputs!$B$39),IF(OR(Inputs!$C$70=0,((((Inputs!$C$70*COS((-$B125))+Inputs!$B$70*SIN((-$B125)))-Inputs!$B$5)*(K125-Inputs!$B$5)+((Inputs!$C$70*SIN((-$B125))-Inputs!$B$70*COS((-$B125)))-Inputs!$B$6)*(L125-Inputs!$B$6))/M125)&lt;0,((((Inputs!$C$70*COS((-$B125))+Inputs!$B$70*SIN((-$B125)))-Inputs!$B$5)*(K125-Inputs!$B$5)+((Inputs!$C$70*SIN((-$B125))-Inputs!$B$70*COS((-$B125)))-Inputs!$B$6)*(L125-Inputs!$B$6))/M125)&gt;M125-Inputs!$B$40),999,(ABS((K125-Inputs!$B$5)*((Inputs!$C$70*SIN((-$B125))-Inputs!$B$70*COS((-$B125)))-Inputs!$B$6)-(L125-Inputs!$B$6)*((Inputs!$C$70*COS((-$B125))+Inputs!$B$70*SIN((-$B125)))-Inputs!$B$5))/M125)-IF(((((Inputs!$C$70*COS((-$B125))+Inputs!$B$70*SIN((-$B125)))-Inputs!$B$5)*(K125-Inputs!$B$5)+((Inputs!$C$70*SIN((-$B125))-Inputs!$B$70*COS((-$B125)))-Inputs!$B$6)*(L125-Inputs!$B$6))/M125)&lt;$B$16,$B$7/2,$B$8/2)-Inputs!$B$39),IF(OR(Inputs!$C$71=0,((((Inputs!$C$71*COS((-$B125))+Inputs!$B$71*SIN((-$B125)))-Inputs!$B$5)*(K125-Inputs!$B$5)+((Inputs!$C$71*SIN((-$B125))-Inputs!$B$71*COS((-$B125)))-Inputs!$B$6)*(L125-Inputs!$B$6))/M125)&lt;0,((((Inputs!$C$71*COS((-$B125))+Inputs!$B$71*SIN((-$B125)))-Inputs!$B$5)*(K125-Inputs!$B$5)+((Inputs!$C$71*SIN((-$B125))-Inputs!$B$71*COS((-$B125)))-Inputs!$B$6)*(L125-Inputs!$B$6))/M125)&gt;M125-Inputs!$B$40),999,(ABS((K125-Inputs!$B$5)*((Inputs!$C$71*SIN((-$B125))-Inputs!$B$71*COS((-$B125)))-Inputs!$B$6)-(L125-Inputs!$B$6)*((Inputs!$C$71*COS((-$B125))+Inputs!$B$71*SIN((-$B125)))-Inputs!$B$5))/M125)-IF(((((Inputs!$C$71*COS((-$B125))+Inputs!$B$71*SIN((-$B125)))-Inputs!$B$5)*(K125-Inputs!$B$5)+((Inputs!$C$71*SIN((-$B125))-Inputs!$B$71*COS((-$B125)))-Inputs!$B$6)*(L125-Inputs!$B$6))/M125)&lt;$B$16,$B$7/2,$B$8/2)-Inputs!$B$39),IF(OR(Inputs!$C$72=0,((((Inputs!$C$72*COS((-$B125))+Inputs!$B$72*SIN((-$B125)))-Inputs!$B$5)*(K125-Inputs!$B$5)+((Inputs!$C$72*SIN((-$B125))-Inputs!$B$72*COS((-$B125)))-Inputs!$B$6)*(L125-Inputs!$B$6))/M125)&lt;0,((((Inputs!$C$72*COS((-$B125))+Inputs!$B$72*SIN((-$B125)))-Inputs!$B$5)*(K125-Inputs!$B$5)+((Inputs!$C$72*SIN((-$B125))-Inputs!$B$72*COS((-$B125)))-Inputs!$B$6)*(L125-Inputs!$B$6))/M125)&gt;M125-Inputs!$B$40),999,(ABS((K125-Inputs!$B$5)*((Inputs!$C$72*SIN((-$B125))-Inputs!$B$72*COS((-$B125)))-Inputs!$B$6)-(L125-Inputs!$B$6)*((Inputs!$C$72*COS((-$B125))+Inputs!$B$72*SIN((-$B125)))-Inputs!$B$5))/M125)-IF(((((Inputs!$C$72*COS((-$B125))+Inputs!$B$72*SIN((-$B125)))-Inputs!$B$5)*(K125-Inputs!$B$5)+((Inputs!$C$72*SIN((-$B125))-Inputs!$B$72*COS((-$B125)))-Inputs!$B$6)*(L125-Inputs!$B$6))/M125)&lt;$B$16,$B$7/2,$B$8/2)-Inputs!$B$39))</f>
        <v>25.26113269</v>
      </c>
      <c r="P125" s="76">
        <f>IF(AND(M125&gt;=$B$14,M125&lt;=$B$15,N125&lt;=Inputs!$B$38,O125&gt;=0,$D125=1),1,0)</f>
        <v>0</v>
      </c>
    </row>
    <row r="126" ht="15.75" customHeight="1">
      <c r="A126" s="23">
        <v>20.75</v>
      </c>
      <c r="B126" s="40">
        <f t="shared" si="4"/>
        <v>0.3621558198</v>
      </c>
      <c r="C126" s="29">
        <f>MAX(Inputs!$C$68*COS($B126)+Inputs!$B$68*ABS(SIN($B126)),Inputs!$C$69*COS($B126)+Inputs!$B$69*ABS(SIN($B126)),Inputs!$C$70*COS($B126)+Inputs!$B$70*ABS(SIN($B126)),Inputs!$C$71*COS($B126)+Inputs!$B$71*ABS(SIN($B126)),Inputs!$C$72*COS($B126)+Inputs!$B$72*ABS(SIN($B126)))</f>
        <v>215.123724</v>
      </c>
      <c r="D126" s="108">
        <f>IF(C126&lt;=Inputs!$B$38,1,0)</f>
        <v>1</v>
      </c>
      <c r="E126" s="29">
        <f>Inputs!$B$11*COS(($B126))-Inputs!$B$7*SIN(($B126))</f>
        <v>160.4955931</v>
      </c>
      <c r="F126" s="29">
        <f>Inputs!$B$11*SIN(($B126))+Inputs!$B$7*COS(($B126))</f>
        <v>-153.0664745</v>
      </c>
      <c r="G126" s="29">
        <f>SQRT((E126-Inputs!$B$5)^2+(F126-Inputs!$B$6)^2)</f>
        <v>268.4281642</v>
      </c>
      <c r="H126" s="29">
        <f>MAX(MAX(Inputs!$B$5,(Inputs!$B$5+(E126-Inputs!$B$5)*MIN(1,$B$16/G126)))+$B$7/2,MAX((Inputs!$B$5+(E126-Inputs!$B$5)*MIN(1,$B$16/G126)),E126)+Inputs!$B$41)</f>
        <v>291.8</v>
      </c>
      <c r="I126" s="29">
        <f>MIN(IF(OR(Inputs!$C$68=0,((((Inputs!$C$68*COS(($B126))+Inputs!$B$68*SIN(($B126)))-Inputs!$B$5)*(E126-Inputs!$B$5)+((Inputs!$C$68*SIN(($B126))-Inputs!$B$68*COS(($B126)))-Inputs!$B$6)*(F126-Inputs!$B$6))/G126)&lt;0,((((Inputs!$C$68*COS(($B126))+Inputs!$B$68*SIN(($B126)))-Inputs!$B$5)*(E126-Inputs!$B$5)+((Inputs!$C$68*SIN(($B126))-Inputs!$B$68*COS(($B126)))-Inputs!$B$6)*(F126-Inputs!$B$6))/G126)&gt;G126-Inputs!$B$40),999,(ABS((E126-Inputs!$B$5)*((Inputs!$C$68*SIN(($B126))-Inputs!$B$68*COS(($B126)))-Inputs!$B$6)-(F126-Inputs!$B$6)*((Inputs!$C$68*COS(($B126))+Inputs!$B$68*SIN(($B126)))-Inputs!$B$5))/G126)-IF(((((Inputs!$C$68*COS(($B126))+Inputs!$B$68*SIN(($B126)))-Inputs!$B$5)*(E126-Inputs!$B$5)+((Inputs!$C$68*SIN(($B126))-Inputs!$B$68*COS(($B126)))-Inputs!$B$6)*(F126-Inputs!$B$6))/G126)&lt;$B$16,$B$7/2,$B$8/2)-Inputs!$B$39),IF(OR(Inputs!$C$69=0,((((Inputs!$C$69*COS(($B126))+Inputs!$B$69*SIN(($B126)))-Inputs!$B$5)*(E126-Inputs!$B$5)+((Inputs!$C$69*SIN(($B126))-Inputs!$B$69*COS(($B126)))-Inputs!$B$6)*(F126-Inputs!$B$6))/G126)&lt;0,((((Inputs!$C$69*COS(($B126))+Inputs!$B$69*SIN(($B126)))-Inputs!$B$5)*(E126-Inputs!$B$5)+((Inputs!$C$69*SIN(($B126))-Inputs!$B$69*COS(($B126)))-Inputs!$B$6)*(F126-Inputs!$B$6))/G126)&gt;G126-Inputs!$B$40),999,(ABS((E126-Inputs!$B$5)*((Inputs!$C$69*SIN(($B126))-Inputs!$B$69*COS(($B126)))-Inputs!$B$6)-(F126-Inputs!$B$6)*((Inputs!$C$69*COS(($B126))+Inputs!$B$69*SIN(($B126)))-Inputs!$B$5))/G126)-IF(((((Inputs!$C$69*COS(($B126))+Inputs!$B$69*SIN(($B126)))-Inputs!$B$5)*(E126-Inputs!$B$5)+((Inputs!$C$69*SIN(($B126))-Inputs!$B$69*COS(($B126)))-Inputs!$B$6)*(F126-Inputs!$B$6))/G126)&lt;$B$16,$B$7/2,$B$8/2)-Inputs!$B$39),IF(OR(Inputs!$C$70=0,((((Inputs!$C$70*COS(($B126))+Inputs!$B$70*SIN(($B126)))-Inputs!$B$5)*(E126-Inputs!$B$5)+((Inputs!$C$70*SIN(($B126))-Inputs!$B$70*COS(($B126)))-Inputs!$B$6)*(F126-Inputs!$B$6))/G126)&lt;0,((((Inputs!$C$70*COS(($B126))+Inputs!$B$70*SIN(($B126)))-Inputs!$B$5)*(E126-Inputs!$B$5)+((Inputs!$C$70*SIN(($B126))-Inputs!$B$70*COS(($B126)))-Inputs!$B$6)*(F126-Inputs!$B$6))/G126)&gt;G126-Inputs!$B$40),999,(ABS((E126-Inputs!$B$5)*((Inputs!$C$70*SIN(($B126))-Inputs!$B$70*COS(($B126)))-Inputs!$B$6)-(F126-Inputs!$B$6)*((Inputs!$C$70*COS(($B126))+Inputs!$B$70*SIN(($B126)))-Inputs!$B$5))/G126)-IF(((((Inputs!$C$70*COS(($B126))+Inputs!$B$70*SIN(($B126)))-Inputs!$B$5)*(E126-Inputs!$B$5)+((Inputs!$C$70*SIN(($B126))-Inputs!$B$70*COS(($B126)))-Inputs!$B$6)*(F126-Inputs!$B$6))/G126)&lt;$B$16,$B$7/2,$B$8/2)-Inputs!$B$39),IF(OR(Inputs!$C$71=0,((((Inputs!$C$71*COS(($B126))+Inputs!$B$71*SIN(($B126)))-Inputs!$B$5)*(E126-Inputs!$B$5)+((Inputs!$C$71*SIN(($B126))-Inputs!$B$71*COS(($B126)))-Inputs!$B$6)*(F126-Inputs!$B$6))/G126)&lt;0,((((Inputs!$C$71*COS(($B126))+Inputs!$B$71*SIN(($B126)))-Inputs!$B$5)*(E126-Inputs!$B$5)+((Inputs!$C$71*SIN(($B126))-Inputs!$B$71*COS(($B126)))-Inputs!$B$6)*(F126-Inputs!$B$6))/G126)&gt;G126-Inputs!$B$40),999,(ABS((E126-Inputs!$B$5)*((Inputs!$C$71*SIN(($B126))-Inputs!$B$71*COS(($B126)))-Inputs!$B$6)-(F126-Inputs!$B$6)*((Inputs!$C$71*COS(($B126))+Inputs!$B$71*SIN(($B126)))-Inputs!$B$5))/G126)-IF(((((Inputs!$C$71*COS(($B126))+Inputs!$B$71*SIN(($B126)))-Inputs!$B$5)*(E126-Inputs!$B$5)+((Inputs!$C$71*SIN(($B126))-Inputs!$B$71*COS(($B126)))-Inputs!$B$6)*(F126-Inputs!$B$6))/G126)&lt;$B$16,$B$7/2,$B$8/2)-Inputs!$B$39),IF(OR(Inputs!$C$72=0,((((Inputs!$C$72*COS(($B126))+Inputs!$B$72*SIN(($B126)))-Inputs!$B$5)*(E126-Inputs!$B$5)+((Inputs!$C$72*SIN(($B126))-Inputs!$B$72*COS(($B126)))-Inputs!$B$6)*(F126-Inputs!$B$6))/G126)&lt;0,((((Inputs!$C$72*COS(($B126))+Inputs!$B$72*SIN(($B126)))-Inputs!$B$5)*(E126-Inputs!$B$5)+((Inputs!$C$72*SIN(($B126))-Inputs!$B$72*COS(($B126)))-Inputs!$B$6)*(F126-Inputs!$B$6))/G126)&gt;G126-Inputs!$B$40),999,(ABS((E126-Inputs!$B$5)*((Inputs!$C$72*SIN(($B126))-Inputs!$B$72*COS(($B126)))-Inputs!$B$6)-(F126-Inputs!$B$6)*((Inputs!$C$72*COS(($B126))+Inputs!$B$72*SIN(($B126)))-Inputs!$B$5))/G126)-IF(((((Inputs!$C$72*COS(($B126))+Inputs!$B$72*SIN(($B126)))-Inputs!$B$5)*(E126-Inputs!$B$5)+((Inputs!$C$72*SIN(($B126))-Inputs!$B$72*COS(($B126)))-Inputs!$B$6)*(F126-Inputs!$B$6))/G126)&lt;$B$16,$B$7/2,$B$8/2)-Inputs!$B$39))</f>
        <v>46.67975894</v>
      </c>
      <c r="J126" s="76">
        <f>IF(AND(G126&gt;=$B$14,G126&lt;=$B$15,H126&lt;=Inputs!$B$38,I126&gt;=0,$D126=1),1,0)</f>
        <v>0</v>
      </c>
      <c r="K126" s="29">
        <f>Inputs!$B$11*COS((-$B126))-Inputs!$B$7*SIN((-$B126))</f>
        <v>18.77917792</v>
      </c>
      <c r="L126" s="29">
        <f>Inputs!$B$11*SIN((-$B126))+Inputs!$B$7*COS((-$B126))</f>
        <v>-220.9876094</v>
      </c>
      <c r="M126" s="29">
        <f>SQRT((K126-Inputs!$B$5)^2+(L126-Inputs!$B$6)^2)</f>
        <v>395.5958973</v>
      </c>
      <c r="N126" s="29">
        <f>MAX(MAX(Inputs!$B$5,(Inputs!$B$5+(K126-Inputs!$B$5)*MIN(1,$B$16/M126)))+$B$7/2,MAX((Inputs!$B$5+(K126-Inputs!$B$5)*MIN(1,$B$16/M126)),K126)+Inputs!$B$41)</f>
        <v>291.8</v>
      </c>
      <c r="O126" s="29">
        <f>MIN(IF(OR(Inputs!$C$68=0,((((Inputs!$C$68*COS((-$B126))+Inputs!$B$68*SIN((-$B126)))-Inputs!$B$5)*(K126-Inputs!$B$5)+((Inputs!$C$68*SIN((-$B126))-Inputs!$B$68*COS((-$B126)))-Inputs!$B$6)*(L126-Inputs!$B$6))/M126)&lt;0,((((Inputs!$C$68*COS((-$B126))+Inputs!$B$68*SIN((-$B126)))-Inputs!$B$5)*(K126-Inputs!$B$5)+((Inputs!$C$68*SIN((-$B126))-Inputs!$B$68*COS((-$B126)))-Inputs!$B$6)*(L126-Inputs!$B$6))/M126)&gt;M126-Inputs!$B$40),999,(ABS((K126-Inputs!$B$5)*((Inputs!$C$68*SIN((-$B126))-Inputs!$B$68*COS((-$B126)))-Inputs!$B$6)-(L126-Inputs!$B$6)*((Inputs!$C$68*COS((-$B126))+Inputs!$B$68*SIN((-$B126)))-Inputs!$B$5))/M126)-IF(((((Inputs!$C$68*COS((-$B126))+Inputs!$B$68*SIN((-$B126)))-Inputs!$B$5)*(K126-Inputs!$B$5)+((Inputs!$C$68*SIN((-$B126))-Inputs!$B$68*COS((-$B126)))-Inputs!$B$6)*(L126-Inputs!$B$6))/M126)&lt;$B$16,$B$7/2,$B$8/2)-Inputs!$B$39),IF(OR(Inputs!$C$69=0,((((Inputs!$C$69*COS((-$B126))+Inputs!$B$69*SIN((-$B126)))-Inputs!$B$5)*(K126-Inputs!$B$5)+((Inputs!$C$69*SIN((-$B126))-Inputs!$B$69*COS((-$B126)))-Inputs!$B$6)*(L126-Inputs!$B$6))/M126)&lt;0,((((Inputs!$C$69*COS((-$B126))+Inputs!$B$69*SIN((-$B126)))-Inputs!$B$5)*(K126-Inputs!$B$5)+((Inputs!$C$69*SIN((-$B126))-Inputs!$B$69*COS((-$B126)))-Inputs!$B$6)*(L126-Inputs!$B$6))/M126)&gt;M126-Inputs!$B$40),999,(ABS((K126-Inputs!$B$5)*((Inputs!$C$69*SIN((-$B126))-Inputs!$B$69*COS((-$B126)))-Inputs!$B$6)-(L126-Inputs!$B$6)*((Inputs!$C$69*COS((-$B126))+Inputs!$B$69*SIN((-$B126)))-Inputs!$B$5))/M126)-IF(((((Inputs!$C$69*COS((-$B126))+Inputs!$B$69*SIN((-$B126)))-Inputs!$B$5)*(K126-Inputs!$B$5)+((Inputs!$C$69*SIN((-$B126))-Inputs!$B$69*COS((-$B126)))-Inputs!$B$6)*(L126-Inputs!$B$6))/M126)&lt;$B$16,$B$7/2,$B$8/2)-Inputs!$B$39),IF(OR(Inputs!$C$70=0,((((Inputs!$C$70*COS((-$B126))+Inputs!$B$70*SIN((-$B126)))-Inputs!$B$5)*(K126-Inputs!$B$5)+((Inputs!$C$70*SIN((-$B126))-Inputs!$B$70*COS((-$B126)))-Inputs!$B$6)*(L126-Inputs!$B$6))/M126)&lt;0,((((Inputs!$C$70*COS((-$B126))+Inputs!$B$70*SIN((-$B126)))-Inputs!$B$5)*(K126-Inputs!$B$5)+((Inputs!$C$70*SIN((-$B126))-Inputs!$B$70*COS((-$B126)))-Inputs!$B$6)*(L126-Inputs!$B$6))/M126)&gt;M126-Inputs!$B$40),999,(ABS((K126-Inputs!$B$5)*((Inputs!$C$70*SIN((-$B126))-Inputs!$B$70*COS((-$B126)))-Inputs!$B$6)-(L126-Inputs!$B$6)*((Inputs!$C$70*COS((-$B126))+Inputs!$B$70*SIN((-$B126)))-Inputs!$B$5))/M126)-IF(((((Inputs!$C$70*COS((-$B126))+Inputs!$B$70*SIN((-$B126)))-Inputs!$B$5)*(K126-Inputs!$B$5)+((Inputs!$C$70*SIN((-$B126))-Inputs!$B$70*COS((-$B126)))-Inputs!$B$6)*(L126-Inputs!$B$6))/M126)&lt;$B$16,$B$7/2,$B$8/2)-Inputs!$B$39),IF(OR(Inputs!$C$71=0,((((Inputs!$C$71*COS((-$B126))+Inputs!$B$71*SIN((-$B126)))-Inputs!$B$5)*(K126-Inputs!$B$5)+((Inputs!$C$71*SIN((-$B126))-Inputs!$B$71*COS((-$B126)))-Inputs!$B$6)*(L126-Inputs!$B$6))/M126)&lt;0,((((Inputs!$C$71*COS((-$B126))+Inputs!$B$71*SIN((-$B126)))-Inputs!$B$5)*(K126-Inputs!$B$5)+((Inputs!$C$71*SIN((-$B126))-Inputs!$B$71*COS((-$B126)))-Inputs!$B$6)*(L126-Inputs!$B$6))/M126)&gt;M126-Inputs!$B$40),999,(ABS((K126-Inputs!$B$5)*((Inputs!$C$71*SIN((-$B126))-Inputs!$B$71*COS((-$B126)))-Inputs!$B$6)-(L126-Inputs!$B$6)*((Inputs!$C$71*COS((-$B126))+Inputs!$B$71*SIN((-$B126)))-Inputs!$B$5))/M126)-IF(((((Inputs!$C$71*COS((-$B126))+Inputs!$B$71*SIN((-$B126)))-Inputs!$B$5)*(K126-Inputs!$B$5)+((Inputs!$C$71*SIN((-$B126))-Inputs!$B$71*COS((-$B126)))-Inputs!$B$6)*(L126-Inputs!$B$6))/M126)&lt;$B$16,$B$7/2,$B$8/2)-Inputs!$B$39),IF(OR(Inputs!$C$72=0,((((Inputs!$C$72*COS((-$B126))+Inputs!$B$72*SIN((-$B126)))-Inputs!$B$5)*(K126-Inputs!$B$5)+((Inputs!$C$72*SIN((-$B126))-Inputs!$B$72*COS((-$B126)))-Inputs!$B$6)*(L126-Inputs!$B$6))/M126)&lt;0,((((Inputs!$C$72*COS((-$B126))+Inputs!$B$72*SIN((-$B126)))-Inputs!$B$5)*(K126-Inputs!$B$5)+((Inputs!$C$72*SIN((-$B126))-Inputs!$B$72*COS((-$B126)))-Inputs!$B$6)*(L126-Inputs!$B$6))/M126)&gt;M126-Inputs!$B$40),999,(ABS((K126-Inputs!$B$5)*((Inputs!$C$72*SIN((-$B126))-Inputs!$B$72*COS((-$B126)))-Inputs!$B$6)-(L126-Inputs!$B$6)*((Inputs!$C$72*COS((-$B126))+Inputs!$B$72*SIN((-$B126)))-Inputs!$B$5))/M126)-IF(((((Inputs!$C$72*COS((-$B126))+Inputs!$B$72*SIN((-$B126)))-Inputs!$B$5)*(K126-Inputs!$B$5)+((Inputs!$C$72*SIN((-$B126))-Inputs!$B$72*COS((-$B126)))-Inputs!$B$6)*(L126-Inputs!$B$6))/M126)&lt;$B$16,$B$7/2,$B$8/2)-Inputs!$B$39))</f>
        <v>24.92677015</v>
      </c>
      <c r="P126" s="76">
        <f>IF(AND(M126&gt;=$B$14,M126&lt;=$B$15,N126&lt;=Inputs!$B$38,O126&gt;=0,$D126=1),1,0)</f>
        <v>0</v>
      </c>
    </row>
    <row r="127" ht="15.75" customHeight="1">
      <c r="A127" s="23">
        <v>21.0</v>
      </c>
      <c r="B127" s="40">
        <f t="shared" si="4"/>
        <v>0.3665191429</v>
      </c>
      <c r="C127" s="29">
        <f>MAX(Inputs!$C$68*COS($B127)+Inputs!$B$68*ABS(SIN($B127)),Inputs!$C$69*COS($B127)+Inputs!$B$69*ABS(SIN($B127)),Inputs!$C$70*COS($B127)+Inputs!$B$70*ABS(SIN($B127)),Inputs!$C$71*COS($B127)+Inputs!$B$71*ABS(SIN($B127)),Inputs!$C$72*COS($B127)+Inputs!$B$72*ABS(SIN($B127)))</f>
        <v>216.6262711</v>
      </c>
      <c r="D127" s="108">
        <f>IF(C127&lt;=Inputs!$B$38,1,0)</f>
        <v>1</v>
      </c>
      <c r="E127" s="29">
        <f>Inputs!$B$11*COS(($B127))-Inputs!$B$7*SIN(($B127))</f>
        <v>161.1619417</v>
      </c>
      <c r="F127" s="29">
        <f>Inputs!$B$11*SIN(($B127))+Inputs!$B$7*COS(($B127))</f>
        <v>-152.3647255</v>
      </c>
      <c r="G127" s="29">
        <f>SQRT((E127-Inputs!$B$5)^2+(F127-Inputs!$B$6)^2)</f>
        <v>267.544679</v>
      </c>
      <c r="H127" s="29">
        <f>MAX(MAX(Inputs!$B$5,(Inputs!$B$5+(E127-Inputs!$B$5)*MIN(1,$B$16/G127)))+$B$7/2,MAX((Inputs!$B$5+(E127-Inputs!$B$5)*MIN(1,$B$16/G127)),E127)+Inputs!$B$41)</f>
        <v>291.8</v>
      </c>
      <c r="I127" s="29">
        <f>MIN(IF(OR(Inputs!$C$68=0,((((Inputs!$C$68*COS(($B127))+Inputs!$B$68*SIN(($B127)))-Inputs!$B$5)*(E127-Inputs!$B$5)+((Inputs!$C$68*SIN(($B127))-Inputs!$B$68*COS(($B127)))-Inputs!$B$6)*(F127-Inputs!$B$6))/G127)&lt;0,((((Inputs!$C$68*COS(($B127))+Inputs!$B$68*SIN(($B127)))-Inputs!$B$5)*(E127-Inputs!$B$5)+((Inputs!$C$68*SIN(($B127))-Inputs!$B$68*COS(($B127)))-Inputs!$B$6)*(F127-Inputs!$B$6))/G127)&gt;G127-Inputs!$B$40),999,(ABS((E127-Inputs!$B$5)*((Inputs!$C$68*SIN(($B127))-Inputs!$B$68*COS(($B127)))-Inputs!$B$6)-(F127-Inputs!$B$6)*((Inputs!$C$68*COS(($B127))+Inputs!$B$68*SIN(($B127)))-Inputs!$B$5))/G127)-IF(((((Inputs!$C$68*COS(($B127))+Inputs!$B$68*SIN(($B127)))-Inputs!$B$5)*(E127-Inputs!$B$5)+((Inputs!$C$68*SIN(($B127))-Inputs!$B$68*COS(($B127)))-Inputs!$B$6)*(F127-Inputs!$B$6))/G127)&lt;$B$16,$B$7/2,$B$8/2)-Inputs!$B$39),IF(OR(Inputs!$C$69=0,((((Inputs!$C$69*COS(($B127))+Inputs!$B$69*SIN(($B127)))-Inputs!$B$5)*(E127-Inputs!$B$5)+((Inputs!$C$69*SIN(($B127))-Inputs!$B$69*COS(($B127)))-Inputs!$B$6)*(F127-Inputs!$B$6))/G127)&lt;0,((((Inputs!$C$69*COS(($B127))+Inputs!$B$69*SIN(($B127)))-Inputs!$B$5)*(E127-Inputs!$B$5)+((Inputs!$C$69*SIN(($B127))-Inputs!$B$69*COS(($B127)))-Inputs!$B$6)*(F127-Inputs!$B$6))/G127)&gt;G127-Inputs!$B$40),999,(ABS((E127-Inputs!$B$5)*((Inputs!$C$69*SIN(($B127))-Inputs!$B$69*COS(($B127)))-Inputs!$B$6)-(F127-Inputs!$B$6)*((Inputs!$C$69*COS(($B127))+Inputs!$B$69*SIN(($B127)))-Inputs!$B$5))/G127)-IF(((((Inputs!$C$69*COS(($B127))+Inputs!$B$69*SIN(($B127)))-Inputs!$B$5)*(E127-Inputs!$B$5)+((Inputs!$C$69*SIN(($B127))-Inputs!$B$69*COS(($B127)))-Inputs!$B$6)*(F127-Inputs!$B$6))/G127)&lt;$B$16,$B$7/2,$B$8/2)-Inputs!$B$39),IF(OR(Inputs!$C$70=0,((((Inputs!$C$70*COS(($B127))+Inputs!$B$70*SIN(($B127)))-Inputs!$B$5)*(E127-Inputs!$B$5)+((Inputs!$C$70*SIN(($B127))-Inputs!$B$70*COS(($B127)))-Inputs!$B$6)*(F127-Inputs!$B$6))/G127)&lt;0,((((Inputs!$C$70*COS(($B127))+Inputs!$B$70*SIN(($B127)))-Inputs!$B$5)*(E127-Inputs!$B$5)+((Inputs!$C$70*SIN(($B127))-Inputs!$B$70*COS(($B127)))-Inputs!$B$6)*(F127-Inputs!$B$6))/G127)&gt;G127-Inputs!$B$40),999,(ABS((E127-Inputs!$B$5)*((Inputs!$C$70*SIN(($B127))-Inputs!$B$70*COS(($B127)))-Inputs!$B$6)-(F127-Inputs!$B$6)*((Inputs!$C$70*COS(($B127))+Inputs!$B$70*SIN(($B127)))-Inputs!$B$5))/G127)-IF(((((Inputs!$C$70*COS(($B127))+Inputs!$B$70*SIN(($B127)))-Inputs!$B$5)*(E127-Inputs!$B$5)+((Inputs!$C$70*SIN(($B127))-Inputs!$B$70*COS(($B127)))-Inputs!$B$6)*(F127-Inputs!$B$6))/G127)&lt;$B$16,$B$7/2,$B$8/2)-Inputs!$B$39),IF(OR(Inputs!$C$71=0,((((Inputs!$C$71*COS(($B127))+Inputs!$B$71*SIN(($B127)))-Inputs!$B$5)*(E127-Inputs!$B$5)+((Inputs!$C$71*SIN(($B127))-Inputs!$B$71*COS(($B127)))-Inputs!$B$6)*(F127-Inputs!$B$6))/G127)&lt;0,((((Inputs!$C$71*COS(($B127))+Inputs!$B$71*SIN(($B127)))-Inputs!$B$5)*(E127-Inputs!$B$5)+((Inputs!$C$71*SIN(($B127))-Inputs!$B$71*COS(($B127)))-Inputs!$B$6)*(F127-Inputs!$B$6))/G127)&gt;G127-Inputs!$B$40),999,(ABS((E127-Inputs!$B$5)*((Inputs!$C$71*SIN(($B127))-Inputs!$B$71*COS(($B127)))-Inputs!$B$6)-(F127-Inputs!$B$6)*((Inputs!$C$71*COS(($B127))+Inputs!$B$71*SIN(($B127)))-Inputs!$B$5))/G127)-IF(((((Inputs!$C$71*COS(($B127))+Inputs!$B$71*SIN(($B127)))-Inputs!$B$5)*(E127-Inputs!$B$5)+((Inputs!$C$71*SIN(($B127))-Inputs!$B$71*COS(($B127)))-Inputs!$B$6)*(F127-Inputs!$B$6))/G127)&lt;$B$16,$B$7/2,$B$8/2)-Inputs!$B$39),IF(OR(Inputs!$C$72=0,((((Inputs!$C$72*COS(($B127))+Inputs!$B$72*SIN(($B127)))-Inputs!$B$5)*(E127-Inputs!$B$5)+((Inputs!$C$72*SIN(($B127))-Inputs!$B$72*COS(($B127)))-Inputs!$B$6)*(F127-Inputs!$B$6))/G127)&lt;0,((((Inputs!$C$72*COS(($B127))+Inputs!$B$72*SIN(($B127)))-Inputs!$B$5)*(E127-Inputs!$B$5)+((Inputs!$C$72*SIN(($B127))-Inputs!$B$72*COS(($B127)))-Inputs!$B$6)*(F127-Inputs!$B$6))/G127)&gt;G127-Inputs!$B$40),999,(ABS((E127-Inputs!$B$5)*((Inputs!$C$72*SIN(($B127))-Inputs!$B$72*COS(($B127)))-Inputs!$B$6)-(F127-Inputs!$B$6)*((Inputs!$C$72*COS(($B127))+Inputs!$B$72*SIN(($B127)))-Inputs!$B$5))/G127)-IF(((((Inputs!$C$72*COS(($B127))+Inputs!$B$72*SIN(($B127)))-Inputs!$B$5)*(E127-Inputs!$B$5)+((Inputs!$C$72*SIN(($B127))-Inputs!$B$72*COS(($B127)))-Inputs!$B$6)*(F127-Inputs!$B$6))/G127)&lt;$B$16,$B$7/2,$B$8/2)-Inputs!$B$39))</f>
        <v>46.85318655</v>
      </c>
      <c r="J127" s="76">
        <f>IF(AND(G127&gt;=$B$14,G127&lt;=$B$15,H127&lt;=Inputs!$B$38,I127&gt;=0,$D127=1),1,0)</f>
        <v>0</v>
      </c>
      <c r="K127" s="29">
        <f>Inputs!$B$11*COS((-$B127))-Inputs!$B$7*SIN((-$B127))</f>
        <v>17.81476187</v>
      </c>
      <c r="L127" s="29">
        <f>Inputs!$B$11*SIN((-$B127))+Inputs!$B$7*COS((-$B127))</f>
        <v>-221.0674451</v>
      </c>
      <c r="M127" s="29">
        <f>SQRT((K127-Inputs!$B$5)^2+(L127-Inputs!$B$6)^2)</f>
        <v>396.2250486</v>
      </c>
      <c r="N127" s="29">
        <f>MAX(MAX(Inputs!$B$5,(Inputs!$B$5+(K127-Inputs!$B$5)*MIN(1,$B$16/M127)))+$B$7/2,MAX((Inputs!$B$5+(K127-Inputs!$B$5)*MIN(1,$B$16/M127)),K127)+Inputs!$B$41)</f>
        <v>291.8</v>
      </c>
      <c r="O127" s="29">
        <f>MIN(IF(OR(Inputs!$C$68=0,((((Inputs!$C$68*COS((-$B127))+Inputs!$B$68*SIN((-$B127)))-Inputs!$B$5)*(K127-Inputs!$B$5)+((Inputs!$C$68*SIN((-$B127))-Inputs!$B$68*COS((-$B127)))-Inputs!$B$6)*(L127-Inputs!$B$6))/M127)&lt;0,((((Inputs!$C$68*COS((-$B127))+Inputs!$B$68*SIN((-$B127)))-Inputs!$B$5)*(K127-Inputs!$B$5)+((Inputs!$C$68*SIN((-$B127))-Inputs!$B$68*COS((-$B127)))-Inputs!$B$6)*(L127-Inputs!$B$6))/M127)&gt;M127-Inputs!$B$40),999,(ABS((K127-Inputs!$B$5)*((Inputs!$C$68*SIN((-$B127))-Inputs!$B$68*COS((-$B127)))-Inputs!$B$6)-(L127-Inputs!$B$6)*((Inputs!$C$68*COS((-$B127))+Inputs!$B$68*SIN((-$B127)))-Inputs!$B$5))/M127)-IF(((((Inputs!$C$68*COS((-$B127))+Inputs!$B$68*SIN((-$B127)))-Inputs!$B$5)*(K127-Inputs!$B$5)+((Inputs!$C$68*SIN((-$B127))-Inputs!$B$68*COS((-$B127)))-Inputs!$B$6)*(L127-Inputs!$B$6))/M127)&lt;$B$16,$B$7/2,$B$8/2)-Inputs!$B$39),IF(OR(Inputs!$C$69=0,((((Inputs!$C$69*COS((-$B127))+Inputs!$B$69*SIN((-$B127)))-Inputs!$B$5)*(K127-Inputs!$B$5)+((Inputs!$C$69*SIN((-$B127))-Inputs!$B$69*COS((-$B127)))-Inputs!$B$6)*(L127-Inputs!$B$6))/M127)&lt;0,((((Inputs!$C$69*COS((-$B127))+Inputs!$B$69*SIN((-$B127)))-Inputs!$B$5)*(K127-Inputs!$B$5)+((Inputs!$C$69*SIN((-$B127))-Inputs!$B$69*COS((-$B127)))-Inputs!$B$6)*(L127-Inputs!$B$6))/M127)&gt;M127-Inputs!$B$40),999,(ABS((K127-Inputs!$B$5)*((Inputs!$C$69*SIN((-$B127))-Inputs!$B$69*COS((-$B127)))-Inputs!$B$6)-(L127-Inputs!$B$6)*((Inputs!$C$69*COS((-$B127))+Inputs!$B$69*SIN((-$B127)))-Inputs!$B$5))/M127)-IF(((((Inputs!$C$69*COS((-$B127))+Inputs!$B$69*SIN((-$B127)))-Inputs!$B$5)*(K127-Inputs!$B$5)+((Inputs!$C$69*SIN((-$B127))-Inputs!$B$69*COS((-$B127)))-Inputs!$B$6)*(L127-Inputs!$B$6))/M127)&lt;$B$16,$B$7/2,$B$8/2)-Inputs!$B$39),IF(OR(Inputs!$C$70=0,((((Inputs!$C$70*COS((-$B127))+Inputs!$B$70*SIN((-$B127)))-Inputs!$B$5)*(K127-Inputs!$B$5)+((Inputs!$C$70*SIN((-$B127))-Inputs!$B$70*COS((-$B127)))-Inputs!$B$6)*(L127-Inputs!$B$6))/M127)&lt;0,((((Inputs!$C$70*COS((-$B127))+Inputs!$B$70*SIN((-$B127)))-Inputs!$B$5)*(K127-Inputs!$B$5)+((Inputs!$C$70*SIN((-$B127))-Inputs!$B$70*COS((-$B127)))-Inputs!$B$6)*(L127-Inputs!$B$6))/M127)&gt;M127-Inputs!$B$40),999,(ABS((K127-Inputs!$B$5)*((Inputs!$C$70*SIN((-$B127))-Inputs!$B$70*COS((-$B127)))-Inputs!$B$6)-(L127-Inputs!$B$6)*((Inputs!$C$70*COS((-$B127))+Inputs!$B$70*SIN((-$B127)))-Inputs!$B$5))/M127)-IF(((((Inputs!$C$70*COS((-$B127))+Inputs!$B$70*SIN((-$B127)))-Inputs!$B$5)*(K127-Inputs!$B$5)+((Inputs!$C$70*SIN((-$B127))-Inputs!$B$70*COS((-$B127)))-Inputs!$B$6)*(L127-Inputs!$B$6))/M127)&lt;$B$16,$B$7/2,$B$8/2)-Inputs!$B$39),IF(OR(Inputs!$C$71=0,((((Inputs!$C$71*COS((-$B127))+Inputs!$B$71*SIN((-$B127)))-Inputs!$B$5)*(K127-Inputs!$B$5)+((Inputs!$C$71*SIN((-$B127))-Inputs!$B$71*COS((-$B127)))-Inputs!$B$6)*(L127-Inputs!$B$6))/M127)&lt;0,((((Inputs!$C$71*COS((-$B127))+Inputs!$B$71*SIN((-$B127)))-Inputs!$B$5)*(K127-Inputs!$B$5)+((Inputs!$C$71*SIN((-$B127))-Inputs!$B$71*COS((-$B127)))-Inputs!$B$6)*(L127-Inputs!$B$6))/M127)&gt;M127-Inputs!$B$40),999,(ABS((K127-Inputs!$B$5)*((Inputs!$C$71*SIN((-$B127))-Inputs!$B$71*COS((-$B127)))-Inputs!$B$6)-(L127-Inputs!$B$6)*((Inputs!$C$71*COS((-$B127))+Inputs!$B$71*SIN((-$B127)))-Inputs!$B$5))/M127)-IF(((((Inputs!$C$71*COS((-$B127))+Inputs!$B$71*SIN((-$B127)))-Inputs!$B$5)*(K127-Inputs!$B$5)+((Inputs!$C$71*SIN((-$B127))-Inputs!$B$71*COS((-$B127)))-Inputs!$B$6)*(L127-Inputs!$B$6))/M127)&lt;$B$16,$B$7/2,$B$8/2)-Inputs!$B$39),IF(OR(Inputs!$C$72=0,((((Inputs!$C$72*COS((-$B127))+Inputs!$B$72*SIN((-$B127)))-Inputs!$B$5)*(K127-Inputs!$B$5)+((Inputs!$C$72*SIN((-$B127))-Inputs!$B$72*COS((-$B127)))-Inputs!$B$6)*(L127-Inputs!$B$6))/M127)&lt;0,((((Inputs!$C$72*COS((-$B127))+Inputs!$B$72*SIN((-$B127)))-Inputs!$B$5)*(K127-Inputs!$B$5)+((Inputs!$C$72*SIN((-$B127))-Inputs!$B$72*COS((-$B127)))-Inputs!$B$6)*(L127-Inputs!$B$6))/M127)&gt;M127-Inputs!$B$40),999,(ABS((K127-Inputs!$B$5)*((Inputs!$C$72*SIN((-$B127))-Inputs!$B$72*COS((-$B127)))-Inputs!$B$6)-(L127-Inputs!$B$6)*((Inputs!$C$72*COS((-$B127))+Inputs!$B$72*SIN((-$B127)))-Inputs!$B$5))/M127)-IF(((((Inputs!$C$72*COS((-$B127))+Inputs!$B$72*SIN((-$B127)))-Inputs!$B$5)*(K127-Inputs!$B$5)+((Inputs!$C$72*SIN((-$B127))-Inputs!$B$72*COS((-$B127)))-Inputs!$B$6)*(L127-Inputs!$B$6))/M127)&lt;$B$16,$B$7/2,$B$8/2)-Inputs!$B$39))</f>
        <v>24.59227559</v>
      </c>
      <c r="P127" s="76">
        <f>IF(AND(M127&gt;=$B$14,M127&lt;=$B$15,N127&lt;=Inputs!$B$38,O127&gt;=0,$D127=1),1,0)</f>
        <v>0</v>
      </c>
    </row>
    <row r="128" ht="15.75" customHeight="1">
      <c r="A128" s="23">
        <v>21.25</v>
      </c>
      <c r="B128" s="40">
        <f t="shared" si="4"/>
        <v>0.370882466</v>
      </c>
      <c r="C128" s="29">
        <f>MAX(Inputs!$C$68*COS($B128)+Inputs!$B$68*ABS(SIN($B128)),Inputs!$C$69*COS($B128)+Inputs!$B$69*ABS(SIN($B128)),Inputs!$C$70*COS($B128)+Inputs!$B$70*ABS(SIN($B128)),Inputs!$C$71*COS($B128)+Inputs!$B$71*ABS(SIN($B128)),Inputs!$C$72*COS($B128)+Inputs!$B$72*ABS(SIN($B128)))</f>
        <v>218.1246939</v>
      </c>
      <c r="D128" s="108">
        <f>IF(C128&lt;=Inputs!$B$38,1,0)</f>
        <v>1</v>
      </c>
      <c r="E128" s="29">
        <f>Inputs!$B$11*COS(($B128))-Inputs!$B$7*SIN(($B128))</f>
        <v>161.825222</v>
      </c>
      <c r="F128" s="29">
        <f>Inputs!$B$11*SIN(($B128))+Inputs!$B$7*COS(($B128))</f>
        <v>-151.6600757</v>
      </c>
      <c r="G128" s="29">
        <f>SQRT((E128-Inputs!$B$5)^2+(F128-Inputs!$B$6)^2)</f>
        <v>266.6600555</v>
      </c>
      <c r="H128" s="29">
        <f>MAX(MAX(Inputs!$B$5,(Inputs!$B$5+(E128-Inputs!$B$5)*MIN(1,$B$16/G128)))+$B$7/2,MAX((Inputs!$B$5+(E128-Inputs!$B$5)*MIN(1,$B$16/G128)),E128)+Inputs!$B$41)</f>
        <v>291.8</v>
      </c>
      <c r="I128" s="29">
        <f>MIN(IF(OR(Inputs!$C$68=0,((((Inputs!$C$68*COS(($B128))+Inputs!$B$68*SIN(($B128)))-Inputs!$B$5)*(E128-Inputs!$B$5)+((Inputs!$C$68*SIN(($B128))-Inputs!$B$68*COS(($B128)))-Inputs!$B$6)*(F128-Inputs!$B$6))/G128)&lt;0,((((Inputs!$C$68*COS(($B128))+Inputs!$B$68*SIN(($B128)))-Inputs!$B$5)*(E128-Inputs!$B$5)+((Inputs!$C$68*SIN(($B128))-Inputs!$B$68*COS(($B128)))-Inputs!$B$6)*(F128-Inputs!$B$6))/G128)&gt;G128-Inputs!$B$40),999,(ABS((E128-Inputs!$B$5)*((Inputs!$C$68*SIN(($B128))-Inputs!$B$68*COS(($B128)))-Inputs!$B$6)-(F128-Inputs!$B$6)*((Inputs!$C$68*COS(($B128))+Inputs!$B$68*SIN(($B128)))-Inputs!$B$5))/G128)-IF(((((Inputs!$C$68*COS(($B128))+Inputs!$B$68*SIN(($B128)))-Inputs!$B$5)*(E128-Inputs!$B$5)+((Inputs!$C$68*SIN(($B128))-Inputs!$B$68*COS(($B128)))-Inputs!$B$6)*(F128-Inputs!$B$6))/G128)&lt;$B$16,$B$7/2,$B$8/2)-Inputs!$B$39),IF(OR(Inputs!$C$69=0,((((Inputs!$C$69*COS(($B128))+Inputs!$B$69*SIN(($B128)))-Inputs!$B$5)*(E128-Inputs!$B$5)+((Inputs!$C$69*SIN(($B128))-Inputs!$B$69*COS(($B128)))-Inputs!$B$6)*(F128-Inputs!$B$6))/G128)&lt;0,((((Inputs!$C$69*COS(($B128))+Inputs!$B$69*SIN(($B128)))-Inputs!$B$5)*(E128-Inputs!$B$5)+((Inputs!$C$69*SIN(($B128))-Inputs!$B$69*COS(($B128)))-Inputs!$B$6)*(F128-Inputs!$B$6))/G128)&gt;G128-Inputs!$B$40),999,(ABS((E128-Inputs!$B$5)*((Inputs!$C$69*SIN(($B128))-Inputs!$B$69*COS(($B128)))-Inputs!$B$6)-(F128-Inputs!$B$6)*((Inputs!$C$69*COS(($B128))+Inputs!$B$69*SIN(($B128)))-Inputs!$B$5))/G128)-IF(((((Inputs!$C$69*COS(($B128))+Inputs!$B$69*SIN(($B128)))-Inputs!$B$5)*(E128-Inputs!$B$5)+((Inputs!$C$69*SIN(($B128))-Inputs!$B$69*COS(($B128)))-Inputs!$B$6)*(F128-Inputs!$B$6))/G128)&lt;$B$16,$B$7/2,$B$8/2)-Inputs!$B$39),IF(OR(Inputs!$C$70=0,((((Inputs!$C$70*COS(($B128))+Inputs!$B$70*SIN(($B128)))-Inputs!$B$5)*(E128-Inputs!$B$5)+((Inputs!$C$70*SIN(($B128))-Inputs!$B$70*COS(($B128)))-Inputs!$B$6)*(F128-Inputs!$B$6))/G128)&lt;0,((((Inputs!$C$70*COS(($B128))+Inputs!$B$70*SIN(($B128)))-Inputs!$B$5)*(E128-Inputs!$B$5)+((Inputs!$C$70*SIN(($B128))-Inputs!$B$70*COS(($B128)))-Inputs!$B$6)*(F128-Inputs!$B$6))/G128)&gt;G128-Inputs!$B$40),999,(ABS((E128-Inputs!$B$5)*((Inputs!$C$70*SIN(($B128))-Inputs!$B$70*COS(($B128)))-Inputs!$B$6)-(F128-Inputs!$B$6)*((Inputs!$C$70*COS(($B128))+Inputs!$B$70*SIN(($B128)))-Inputs!$B$5))/G128)-IF(((((Inputs!$C$70*COS(($B128))+Inputs!$B$70*SIN(($B128)))-Inputs!$B$5)*(E128-Inputs!$B$5)+((Inputs!$C$70*SIN(($B128))-Inputs!$B$70*COS(($B128)))-Inputs!$B$6)*(F128-Inputs!$B$6))/G128)&lt;$B$16,$B$7/2,$B$8/2)-Inputs!$B$39),IF(OR(Inputs!$C$71=0,((((Inputs!$C$71*COS(($B128))+Inputs!$B$71*SIN(($B128)))-Inputs!$B$5)*(E128-Inputs!$B$5)+((Inputs!$C$71*SIN(($B128))-Inputs!$B$71*COS(($B128)))-Inputs!$B$6)*(F128-Inputs!$B$6))/G128)&lt;0,((((Inputs!$C$71*COS(($B128))+Inputs!$B$71*SIN(($B128)))-Inputs!$B$5)*(E128-Inputs!$B$5)+((Inputs!$C$71*SIN(($B128))-Inputs!$B$71*COS(($B128)))-Inputs!$B$6)*(F128-Inputs!$B$6))/G128)&gt;G128-Inputs!$B$40),999,(ABS((E128-Inputs!$B$5)*((Inputs!$C$71*SIN(($B128))-Inputs!$B$71*COS(($B128)))-Inputs!$B$6)-(F128-Inputs!$B$6)*((Inputs!$C$71*COS(($B128))+Inputs!$B$71*SIN(($B128)))-Inputs!$B$5))/G128)-IF(((((Inputs!$C$71*COS(($B128))+Inputs!$B$71*SIN(($B128)))-Inputs!$B$5)*(E128-Inputs!$B$5)+((Inputs!$C$71*SIN(($B128))-Inputs!$B$71*COS(($B128)))-Inputs!$B$6)*(F128-Inputs!$B$6))/G128)&lt;$B$16,$B$7/2,$B$8/2)-Inputs!$B$39),IF(OR(Inputs!$C$72=0,((((Inputs!$C$72*COS(($B128))+Inputs!$B$72*SIN(($B128)))-Inputs!$B$5)*(E128-Inputs!$B$5)+((Inputs!$C$72*SIN(($B128))-Inputs!$B$72*COS(($B128)))-Inputs!$B$6)*(F128-Inputs!$B$6))/G128)&lt;0,((((Inputs!$C$72*COS(($B128))+Inputs!$B$72*SIN(($B128)))-Inputs!$B$5)*(E128-Inputs!$B$5)+((Inputs!$C$72*SIN(($B128))-Inputs!$B$72*COS(($B128)))-Inputs!$B$6)*(F128-Inputs!$B$6))/G128)&gt;G128-Inputs!$B$40),999,(ABS((E128-Inputs!$B$5)*((Inputs!$C$72*SIN(($B128))-Inputs!$B$72*COS(($B128)))-Inputs!$B$6)-(F128-Inputs!$B$6)*((Inputs!$C$72*COS(($B128))+Inputs!$B$72*SIN(($B128)))-Inputs!$B$5))/G128)-IF(((((Inputs!$C$72*COS(($B128))+Inputs!$B$72*SIN(($B128)))-Inputs!$B$5)*(E128-Inputs!$B$5)+((Inputs!$C$72*SIN(($B128))-Inputs!$B$72*COS(($B128)))-Inputs!$B$6)*(F128-Inputs!$B$6))/G128)&lt;$B$16,$B$7/2,$B$8/2)-Inputs!$B$39))</f>
        <v>47.02612869</v>
      </c>
      <c r="J128" s="76">
        <f>IF(AND(G128&gt;=$B$14,G128&lt;=$B$15,H128&lt;=Inputs!$B$38,I128&gt;=0,$D128=1),1,0)</f>
        <v>0</v>
      </c>
      <c r="K128" s="29">
        <f>Inputs!$B$11*COS((-$B128))-Inputs!$B$7*SIN((-$B128))</f>
        <v>16.85000665</v>
      </c>
      <c r="L128" s="29">
        <f>Inputs!$B$11*SIN((-$B128))+Inputs!$B$7*COS((-$B128))</f>
        <v>-221.143072</v>
      </c>
      <c r="M128" s="29">
        <f>SQRT((K128-Inputs!$B$5)^2+(L128-Inputs!$B$6)^2)</f>
        <v>396.8523555</v>
      </c>
      <c r="N128" s="29">
        <f>MAX(MAX(Inputs!$B$5,(Inputs!$B$5+(K128-Inputs!$B$5)*MIN(1,$B$16/M128)))+$B$7/2,MAX((Inputs!$B$5+(K128-Inputs!$B$5)*MIN(1,$B$16/M128)),K128)+Inputs!$B$41)</f>
        <v>291.8</v>
      </c>
      <c r="O128" s="29">
        <f>MIN(IF(OR(Inputs!$C$68=0,((((Inputs!$C$68*COS((-$B128))+Inputs!$B$68*SIN((-$B128)))-Inputs!$B$5)*(K128-Inputs!$B$5)+((Inputs!$C$68*SIN((-$B128))-Inputs!$B$68*COS((-$B128)))-Inputs!$B$6)*(L128-Inputs!$B$6))/M128)&lt;0,((((Inputs!$C$68*COS((-$B128))+Inputs!$B$68*SIN((-$B128)))-Inputs!$B$5)*(K128-Inputs!$B$5)+((Inputs!$C$68*SIN((-$B128))-Inputs!$B$68*COS((-$B128)))-Inputs!$B$6)*(L128-Inputs!$B$6))/M128)&gt;M128-Inputs!$B$40),999,(ABS((K128-Inputs!$B$5)*((Inputs!$C$68*SIN((-$B128))-Inputs!$B$68*COS((-$B128)))-Inputs!$B$6)-(L128-Inputs!$B$6)*((Inputs!$C$68*COS((-$B128))+Inputs!$B$68*SIN((-$B128)))-Inputs!$B$5))/M128)-IF(((((Inputs!$C$68*COS((-$B128))+Inputs!$B$68*SIN((-$B128)))-Inputs!$B$5)*(K128-Inputs!$B$5)+((Inputs!$C$68*SIN((-$B128))-Inputs!$B$68*COS((-$B128)))-Inputs!$B$6)*(L128-Inputs!$B$6))/M128)&lt;$B$16,$B$7/2,$B$8/2)-Inputs!$B$39),IF(OR(Inputs!$C$69=0,((((Inputs!$C$69*COS((-$B128))+Inputs!$B$69*SIN((-$B128)))-Inputs!$B$5)*(K128-Inputs!$B$5)+((Inputs!$C$69*SIN((-$B128))-Inputs!$B$69*COS((-$B128)))-Inputs!$B$6)*(L128-Inputs!$B$6))/M128)&lt;0,((((Inputs!$C$69*COS((-$B128))+Inputs!$B$69*SIN((-$B128)))-Inputs!$B$5)*(K128-Inputs!$B$5)+((Inputs!$C$69*SIN((-$B128))-Inputs!$B$69*COS((-$B128)))-Inputs!$B$6)*(L128-Inputs!$B$6))/M128)&gt;M128-Inputs!$B$40),999,(ABS((K128-Inputs!$B$5)*((Inputs!$C$69*SIN((-$B128))-Inputs!$B$69*COS((-$B128)))-Inputs!$B$6)-(L128-Inputs!$B$6)*((Inputs!$C$69*COS((-$B128))+Inputs!$B$69*SIN((-$B128)))-Inputs!$B$5))/M128)-IF(((((Inputs!$C$69*COS((-$B128))+Inputs!$B$69*SIN((-$B128)))-Inputs!$B$5)*(K128-Inputs!$B$5)+((Inputs!$C$69*SIN((-$B128))-Inputs!$B$69*COS((-$B128)))-Inputs!$B$6)*(L128-Inputs!$B$6))/M128)&lt;$B$16,$B$7/2,$B$8/2)-Inputs!$B$39),IF(OR(Inputs!$C$70=0,((((Inputs!$C$70*COS((-$B128))+Inputs!$B$70*SIN((-$B128)))-Inputs!$B$5)*(K128-Inputs!$B$5)+((Inputs!$C$70*SIN((-$B128))-Inputs!$B$70*COS((-$B128)))-Inputs!$B$6)*(L128-Inputs!$B$6))/M128)&lt;0,((((Inputs!$C$70*COS((-$B128))+Inputs!$B$70*SIN((-$B128)))-Inputs!$B$5)*(K128-Inputs!$B$5)+((Inputs!$C$70*SIN((-$B128))-Inputs!$B$70*COS((-$B128)))-Inputs!$B$6)*(L128-Inputs!$B$6))/M128)&gt;M128-Inputs!$B$40),999,(ABS((K128-Inputs!$B$5)*((Inputs!$C$70*SIN((-$B128))-Inputs!$B$70*COS((-$B128)))-Inputs!$B$6)-(L128-Inputs!$B$6)*((Inputs!$C$70*COS((-$B128))+Inputs!$B$70*SIN((-$B128)))-Inputs!$B$5))/M128)-IF(((((Inputs!$C$70*COS((-$B128))+Inputs!$B$70*SIN((-$B128)))-Inputs!$B$5)*(K128-Inputs!$B$5)+((Inputs!$C$70*SIN((-$B128))-Inputs!$B$70*COS((-$B128)))-Inputs!$B$6)*(L128-Inputs!$B$6))/M128)&lt;$B$16,$B$7/2,$B$8/2)-Inputs!$B$39),IF(OR(Inputs!$C$71=0,((((Inputs!$C$71*COS((-$B128))+Inputs!$B$71*SIN((-$B128)))-Inputs!$B$5)*(K128-Inputs!$B$5)+((Inputs!$C$71*SIN((-$B128))-Inputs!$B$71*COS((-$B128)))-Inputs!$B$6)*(L128-Inputs!$B$6))/M128)&lt;0,((((Inputs!$C$71*COS((-$B128))+Inputs!$B$71*SIN((-$B128)))-Inputs!$B$5)*(K128-Inputs!$B$5)+((Inputs!$C$71*SIN((-$B128))-Inputs!$B$71*COS((-$B128)))-Inputs!$B$6)*(L128-Inputs!$B$6))/M128)&gt;M128-Inputs!$B$40),999,(ABS((K128-Inputs!$B$5)*((Inputs!$C$71*SIN((-$B128))-Inputs!$B$71*COS((-$B128)))-Inputs!$B$6)-(L128-Inputs!$B$6)*((Inputs!$C$71*COS((-$B128))+Inputs!$B$71*SIN((-$B128)))-Inputs!$B$5))/M128)-IF(((((Inputs!$C$71*COS((-$B128))+Inputs!$B$71*SIN((-$B128)))-Inputs!$B$5)*(K128-Inputs!$B$5)+((Inputs!$C$71*SIN((-$B128))-Inputs!$B$71*COS((-$B128)))-Inputs!$B$6)*(L128-Inputs!$B$6))/M128)&lt;$B$16,$B$7/2,$B$8/2)-Inputs!$B$39),IF(OR(Inputs!$C$72=0,((((Inputs!$C$72*COS((-$B128))+Inputs!$B$72*SIN((-$B128)))-Inputs!$B$5)*(K128-Inputs!$B$5)+((Inputs!$C$72*SIN((-$B128))-Inputs!$B$72*COS((-$B128)))-Inputs!$B$6)*(L128-Inputs!$B$6))/M128)&lt;0,((((Inputs!$C$72*COS((-$B128))+Inputs!$B$72*SIN((-$B128)))-Inputs!$B$5)*(K128-Inputs!$B$5)+((Inputs!$C$72*SIN((-$B128))-Inputs!$B$72*COS((-$B128)))-Inputs!$B$6)*(L128-Inputs!$B$6))/M128)&gt;M128-Inputs!$B$40),999,(ABS((K128-Inputs!$B$5)*((Inputs!$C$72*SIN((-$B128))-Inputs!$B$72*COS((-$B128)))-Inputs!$B$6)-(L128-Inputs!$B$6)*((Inputs!$C$72*COS((-$B128))+Inputs!$B$72*SIN((-$B128)))-Inputs!$B$5))/M128)-IF(((((Inputs!$C$72*COS((-$B128))+Inputs!$B$72*SIN((-$B128)))-Inputs!$B$5)*(K128-Inputs!$B$5)+((Inputs!$C$72*SIN((-$B128))-Inputs!$B$72*COS((-$B128)))-Inputs!$B$6)*(L128-Inputs!$B$6))/M128)&lt;$B$16,$B$7/2,$B$8/2)-Inputs!$B$39))</f>
        <v>24.25765039</v>
      </c>
      <c r="P128" s="76">
        <f>IF(AND(M128&gt;=$B$14,M128&lt;=$B$15,N128&lt;=Inputs!$B$38,O128&gt;=0,$D128=1),1,0)</f>
        <v>0</v>
      </c>
    </row>
    <row r="129" ht="15.75" customHeight="1">
      <c r="A129" s="23">
        <v>21.5</v>
      </c>
      <c r="B129" s="40">
        <f t="shared" si="4"/>
        <v>0.3752457892</v>
      </c>
      <c r="C129" s="29">
        <f>MAX(Inputs!$C$68*COS($B129)+Inputs!$B$68*ABS(SIN($B129)),Inputs!$C$69*COS($B129)+Inputs!$B$69*ABS(SIN($B129)),Inputs!$C$70*COS($B129)+Inputs!$B$70*ABS(SIN($B129)),Inputs!$C$71*COS($B129)+Inputs!$B$71*ABS(SIN($B129)),Inputs!$C$72*COS($B129)+Inputs!$B$72*ABS(SIN($B129)))</f>
        <v>219.6189639</v>
      </c>
      <c r="D129" s="108">
        <f>IF(C129&lt;=Inputs!$B$38,1,0)</f>
        <v>1</v>
      </c>
      <c r="E129" s="29">
        <f>Inputs!$B$11*COS(($B129))-Inputs!$B$7*SIN(($B129))</f>
        <v>162.4854213</v>
      </c>
      <c r="F129" s="29">
        <f>Inputs!$B$11*SIN(($B129))+Inputs!$B$7*COS(($B129))</f>
        <v>-150.9525385</v>
      </c>
      <c r="G129" s="29">
        <f>SQRT((E129-Inputs!$B$5)^2+(F129-Inputs!$B$6)^2)</f>
        <v>265.7742991</v>
      </c>
      <c r="H129" s="29">
        <f>MAX(MAX(Inputs!$B$5,(Inputs!$B$5+(E129-Inputs!$B$5)*MIN(1,$B$16/G129)))+$B$7/2,MAX((Inputs!$B$5+(E129-Inputs!$B$5)*MIN(1,$B$16/G129)),E129)+Inputs!$B$41)</f>
        <v>291.8</v>
      </c>
      <c r="I129" s="29">
        <f>MIN(IF(OR(Inputs!$C$68=0,((((Inputs!$C$68*COS(($B129))+Inputs!$B$68*SIN(($B129)))-Inputs!$B$5)*(E129-Inputs!$B$5)+((Inputs!$C$68*SIN(($B129))-Inputs!$B$68*COS(($B129)))-Inputs!$B$6)*(F129-Inputs!$B$6))/G129)&lt;0,((((Inputs!$C$68*COS(($B129))+Inputs!$B$68*SIN(($B129)))-Inputs!$B$5)*(E129-Inputs!$B$5)+((Inputs!$C$68*SIN(($B129))-Inputs!$B$68*COS(($B129)))-Inputs!$B$6)*(F129-Inputs!$B$6))/G129)&gt;G129-Inputs!$B$40),999,(ABS((E129-Inputs!$B$5)*((Inputs!$C$68*SIN(($B129))-Inputs!$B$68*COS(($B129)))-Inputs!$B$6)-(F129-Inputs!$B$6)*((Inputs!$C$68*COS(($B129))+Inputs!$B$68*SIN(($B129)))-Inputs!$B$5))/G129)-IF(((((Inputs!$C$68*COS(($B129))+Inputs!$B$68*SIN(($B129)))-Inputs!$B$5)*(E129-Inputs!$B$5)+((Inputs!$C$68*SIN(($B129))-Inputs!$B$68*COS(($B129)))-Inputs!$B$6)*(F129-Inputs!$B$6))/G129)&lt;$B$16,$B$7/2,$B$8/2)-Inputs!$B$39),IF(OR(Inputs!$C$69=0,((((Inputs!$C$69*COS(($B129))+Inputs!$B$69*SIN(($B129)))-Inputs!$B$5)*(E129-Inputs!$B$5)+((Inputs!$C$69*SIN(($B129))-Inputs!$B$69*COS(($B129)))-Inputs!$B$6)*(F129-Inputs!$B$6))/G129)&lt;0,((((Inputs!$C$69*COS(($B129))+Inputs!$B$69*SIN(($B129)))-Inputs!$B$5)*(E129-Inputs!$B$5)+((Inputs!$C$69*SIN(($B129))-Inputs!$B$69*COS(($B129)))-Inputs!$B$6)*(F129-Inputs!$B$6))/G129)&gt;G129-Inputs!$B$40),999,(ABS((E129-Inputs!$B$5)*((Inputs!$C$69*SIN(($B129))-Inputs!$B$69*COS(($B129)))-Inputs!$B$6)-(F129-Inputs!$B$6)*((Inputs!$C$69*COS(($B129))+Inputs!$B$69*SIN(($B129)))-Inputs!$B$5))/G129)-IF(((((Inputs!$C$69*COS(($B129))+Inputs!$B$69*SIN(($B129)))-Inputs!$B$5)*(E129-Inputs!$B$5)+((Inputs!$C$69*SIN(($B129))-Inputs!$B$69*COS(($B129)))-Inputs!$B$6)*(F129-Inputs!$B$6))/G129)&lt;$B$16,$B$7/2,$B$8/2)-Inputs!$B$39),IF(OR(Inputs!$C$70=0,((((Inputs!$C$70*COS(($B129))+Inputs!$B$70*SIN(($B129)))-Inputs!$B$5)*(E129-Inputs!$B$5)+((Inputs!$C$70*SIN(($B129))-Inputs!$B$70*COS(($B129)))-Inputs!$B$6)*(F129-Inputs!$B$6))/G129)&lt;0,((((Inputs!$C$70*COS(($B129))+Inputs!$B$70*SIN(($B129)))-Inputs!$B$5)*(E129-Inputs!$B$5)+((Inputs!$C$70*SIN(($B129))-Inputs!$B$70*COS(($B129)))-Inputs!$B$6)*(F129-Inputs!$B$6))/G129)&gt;G129-Inputs!$B$40),999,(ABS((E129-Inputs!$B$5)*((Inputs!$C$70*SIN(($B129))-Inputs!$B$70*COS(($B129)))-Inputs!$B$6)-(F129-Inputs!$B$6)*((Inputs!$C$70*COS(($B129))+Inputs!$B$70*SIN(($B129)))-Inputs!$B$5))/G129)-IF(((((Inputs!$C$70*COS(($B129))+Inputs!$B$70*SIN(($B129)))-Inputs!$B$5)*(E129-Inputs!$B$5)+((Inputs!$C$70*SIN(($B129))-Inputs!$B$70*COS(($B129)))-Inputs!$B$6)*(F129-Inputs!$B$6))/G129)&lt;$B$16,$B$7/2,$B$8/2)-Inputs!$B$39),IF(OR(Inputs!$C$71=0,((((Inputs!$C$71*COS(($B129))+Inputs!$B$71*SIN(($B129)))-Inputs!$B$5)*(E129-Inputs!$B$5)+((Inputs!$C$71*SIN(($B129))-Inputs!$B$71*COS(($B129)))-Inputs!$B$6)*(F129-Inputs!$B$6))/G129)&lt;0,((((Inputs!$C$71*COS(($B129))+Inputs!$B$71*SIN(($B129)))-Inputs!$B$5)*(E129-Inputs!$B$5)+((Inputs!$C$71*SIN(($B129))-Inputs!$B$71*COS(($B129)))-Inputs!$B$6)*(F129-Inputs!$B$6))/G129)&gt;G129-Inputs!$B$40),999,(ABS((E129-Inputs!$B$5)*((Inputs!$C$71*SIN(($B129))-Inputs!$B$71*COS(($B129)))-Inputs!$B$6)-(F129-Inputs!$B$6)*((Inputs!$C$71*COS(($B129))+Inputs!$B$71*SIN(($B129)))-Inputs!$B$5))/G129)-IF(((((Inputs!$C$71*COS(($B129))+Inputs!$B$71*SIN(($B129)))-Inputs!$B$5)*(E129-Inputs!$B$5)+((Inputs!$C$71*SIN(($B129))-Inputs!$B$71*COS(($B129)))-Inputs!$B$6)*(F129-Inputs!$B$6))/G129)&lt;$B$16,$B$7/2,$B$8/2)-Inputs!$B$39),IF(OR(Inputs!$C$72=0,((((Inputs!$C$72*COS(($B129))+Inputs!$B$72*SIN(($B129)))-Inputs!$B$5)*(E129-Inputs!$B$5)+((Inputs!$C$72*SIN(($B129))-Inputs!$B$72*COS(($B129)))-Inputs!$B$6)*(F129-Inputs!$B$6))/G129)&lt;0,((((Inputs!$C$72*COS(($B129))+Inputs!$B$72*SIN(($B129)))-Inputs!$B$5)*(E129-Inputs!$B$5)+((Inputs!$C$72*SIN(($B129))-Inputs!$B$72*COS(($B129)))-Inputs!$B$6)*(F129-Inputs!$B$6))/G129)&gt;G129-Inputs!$B$40),999,(ABS((E129-Inputs!$B$5)*((Inputs!$C$72*SIN(($B129))-Inputs!$B$72*COS(($B129)))-Inputs!$B$6)-(F129-Inputs!$B$6)*((Inputs!$C$72*COS(($B129))+Inputs!$B$72*SIN(($B129)))-Inputs!$B$5))/G129)-IF(((((Inputs!$C$72*COS(($B129))+Inputs!$B$72*SIN(($B129)))-Inputs!$B$5)*(E129-Inputs!$B$5)+((Inputs!$C$72*SIN(($B129))-Inputs!$B$72*COS(($B129)))-Inputs!$B$6)*(F129-Inputs!$B$6))/G129)&lt;$B$16,$B$7/2,$B$8/2)-Inputs!$B$39))</f>
        <v>47.19858329</v>
      </c>
      <c r="J129" s="76">
        <f>IF(AND(G129&gt;=$B$14,G129&lt;=$B$15,H129&lt;=Inputs!$B$38,I129&gt;=0,$D129=1),1,0)</f>
        <v>0</v>
      </c>
      <c r="K129" s="29">
        <f>Inputs!$B$11*COS((-$B129))-Inputs!$B$7*SIN((-$B129))</f>
        <v>15.88493063</v>
      </c>
      <c r="L129" s="29">
        <f>Inputs!$B$11*SIN((-$B129))+Inputs!$B$7*COS((-$B129))</f>
        <v>-221.2144887</v>
      </c>
      <c r="M129" s="29">
        <f>SQRT((K129-Inputs!$B$5)^2+(L129-Inputs!$B$6)^2)</f>
        <v>397.477815</v>
      </c>
      <c r="N129" s="29">
        <f>MAX(MAX(Inputs!$B$5,(Inputs!$B$5+(K129-Inputs!$B$5)*MIN(1,$B$16/M129)))+$B$7/2,MAX((Inputs!$B$5+(K129-Inputs!$B$5)*MIN(1,$B$16/M129)),K129)+Inputs!$B$41)</f>
        <v>291.8</v>
      </c>
      <c r="O129" s="29">
        <f>MIN(IF(OR(Inputs!$C$68=0,((((Inputs!$C$68*COS((-$B129))+Inputs!$B$68*SIN((-$B129)))-Inputs!$B$5)*(K129-Inputs!$B$5)+((Inputs!$C$68*SIN((-$B129))-Inputs!$B$68*COS((-$B129)))-Inputs!$B$6)*(L129-Inputs!$B$6))/M129)&lt;0,((((Inputs!$C$68*COS((-$B129))+Inputs!$B$68*SIN((-$B129)))-Inputs!$B$5)*(K129-Inputs!$B$5)+((Inputs!$C$68*SIN((-$B129))-Inputs!$B$68*COS((-$B129)))-Inputs!$B$6)*(L129-Inputs!$B$6))/M129)&gt;M129-Inputs!$B$40),999,(ABS((K129-Inputs!$B$5)*((Inputs!$C$68*SIN((-$B129))-Inputs!$B$68*COS((-$B129)))-Inputs!$B$6)-(L129-Inputs!$B$6)*((Inputs!$C$68*COS((-$B129))+Inputs!$B$68*SIN((-$B129)))-Inputs!$B$5))/M129)-IF(((((Inputs!$C$68*COS((-$B129))+Inputs!$B$68*SIN((-$B129)))-Inputs!$B$5)*(K129-Inputs!$B$5)+((Inputs!$C$68*SIN((-$B129))-Inputs!$B$68*COS((-$B129)))-Inputs!$B$6)*(L129-Inputs!$B$6))/M129)&lt;$B$16,$B$7/2,$B$8/2)-Inputs!$B$39),IF(OR(Inputs!$C$69=0,((((Inputs!$C$69*COS((-$B129))+Inputs!$B$69*SIN((-$B129)))-Inputs!$B$5)*(K129-Inputs!$B$5)+((Inputs!$C$69*SIN((-$B129))-Inputs!$B$69*COS((-$B129)))-Inputs!$B$6)*(L129-Inputs!$B$6))/M129)&lt;0,((((Inputs!$C$69*COS((-$B129))+Inputs!$B$69*SIN((-$B129)))-Inputs!$B$5)*(K129-Inputs!$B$5)+((Inputs!$C$69*SIN((-$B129))-Inputs!$B$69*COS((-$B129)))-Inputs!$B$6)*(L129-Inputs!$B$6))/M129)&gt;M129-Inputs!$B$40),999,(ABS((K129-Inputs!$B$5)*((Inputs!$C$69*SIN((-$B129))-Inputs!$B$69*COS((-$B129)))-Inputs!$B$6)-(L129-Inputs!$B$6)*((Inputs!$C$69*COS((-$B129))+Inputs!$B$69*SIN((-$B129)))-Inputs!$B$5))/M129)-IF(((((Inputs!$C$69*COS((-$B129))+Inputs!$B$69*SIN((-$B129)))-Inputs!$B$5)*(K129-Inputs!$B$5)+((Inputs!$C$69*SIN((-$B129))-Inputs!$B$69*COS((-$B129)))-Inputs!$B$6)*(L129-Inputs!$B$6))/M129)&lt;$B$16,$B$7/2,$B$8/2)-Inputs!$B$39),IF(OR(Inputs!$C$70=0,((((Inputs!$C$70*COS((-$B129))+Inputs!$B$70*SIN((-$B129)))-Inputs!$B$5)*(K129-Inputs!$B$5)+((Inputs!$C$70*SIN((-$B129))-Inputs!$B$70*COS((-$B129)))-Inputs!$B$6)*(L129-Inputs!$B$6))/M129)&lt;0,((((Inputs!$C$70*COS((-$B129))+Inputs!$B$70*SIN((-$B129)))-Inputs!$B$5)*(K129-Inputs!$B$5)+((Inputs!$C$70*SIN((-$B129))-Inputs!$B$70*COS((-$B129)))-Inputs!$B$6)*(L129-Inputs!$B$6))/M129)&gt;M129-Inputs!$B$40),999,(ABS((K129-Inputs!$B$5)*((Inputs!$C$70*SIN((-$B129))-Inputs!$B$70*COS((-$B129)))-Inputs!$B$6)-(L129-Inputs!$B$6)*((Inputs!$C$70*COS((-$B129))+Inputs!$B$70*SIN((-$B129)))-Inputs!$B$5))/M129)-IF(((((Inputs!$C$70*COS((-$B129))+Inputs!$B$70*SIN((-$B129)))-Inputs!$B$5)*(K129-Inputs!$B$5)+((Inputs!$C$70*SIN((-$B129))-Inputs!$B$70*COS((-$B129)))-Inputs!$B$6)*(L129-Inputs!$B$6))/M129)&lt;$B$16,$B$7/2,$B$8/2)-Inputs!$B$39),IF(OR(Inputs!$C$71=0,((((Inputs!$C$71*COS((-$B129))+Inputs!$B$71*SIN((-$B129)))-Inputs!$B$5)*(K129-Inputs!$B$5)+((Inputs!$C$71*SIN((-$B129))-Inputs!$B$71*COS((-$B129)))-Inputs!$B$6)*(L129-Inputs!$B$6))/M129)&lt;0,((((Inputs!$C$71*COS((-$B129))+Inputs!$B$71*SIN((-$B129)))-Inputs!$B$5)*(K129-Inputs!$B$5)+((Inputs!$C$71*SIN((-$B129))-Inputs!$B$71*COS((-$B129)))-Inputs!$B$6)*(L129-Inputs!$B$6))/M129)&gt;M129-Inputs!$B$40),999,(ABS((K129-Inputs!$B$5)*((Inputs!$C$71*SIN((-$B129))-Inputs!$B$71*COS((-$B129)))-Inputs!$B$6)-(L129-Inputs!$B$6)*((Inputs!$C$71*COS((-$B129))+Inputs!$B$71*SIN((-$B129)))-Inputs!$B$5))/M129)-IF(((((Inputs!$C$71*COS((-$B129))+Inputs!$B$71*SIN((-$B129)))-Inputs!$B$5)*(K129-Inputs!$B$5)+((Inputs!$C$71*SIN((-$B129))-Inputs!$B$71*COS((-$B129)))-Inputs!$B$6)*(L129-Inputs!$B$6))/M129)&lt;$B$16,$B$7/2,$B$8/2)-Inputs!$B$39),IF(OR(Inputs!$C$72=0,((((Inputs!$C$72*COS((-$B129))+Inputs!$B$72*SIN((-$B129)))-Inputs!$B$5)*(K129-Inputs!$B$5)+((Inputs!$C$72*SIN((-$B129))-Inputs!$B$72*COS((-$B129)))-Inputs!$B$6)*(L129-Inputs!$B$6))/M129)&lt;0,((((Inputs!$C$72*COS((-$B129))+Inputs!$B$72*SIN((-$B129)))-Inputs!$B$5)*(K129-Inputs!$B$5)+((Inputs!$C$72*SIN((-$B129))-Inputs!$B$72*COS((-$B129)))-Inputs!$B$6)*(L129-Inputs!$B$6))/M129)&gt;M129-Inputs!$B$40),999,(ABS((K129-Inputs!$B$5)*((Inputs!$C$72*SIN((-$B129))-Inputs!$B$72*COS((-$B129)))-Inputs!$B$6)-(L129-Inputs!$B$6)*((Inputs!$C$72*COS((-$B129))+Inputs!$B$72*SIN((-$B129)))-Inputs!$B$5))/M129)-IF(((((Inputs!$C$72*COS((-$B129))+Inputs!$B$72*SIN((-$B129)))-Inputs!$B$5)*(K129-Inputs!$B$5)+((Inputs!$C$72*SIN((-$B129))-Inputs!$B$72*COS((-$B129)))-Inputs!$B$6)*(L129-Inputs!$B$6))/M129)&lt;$B$16,$B$7/2,$B$8/2)-Inputs!$B$39))</f>
        <v>23.92289593</v>
      </c>
      <c r="P129" s="76">
        <f>IF(AND(M129&gt;=$B$14,M129&lt;=$B$15,N129&lt;=Inputs!$B$38,O129&gt;=0,$D129=1),1,0)</f>
        <v>0</v>
      </c>
    </row>
    <row r="130" ht="15.75" customHeight="1">
      <c r="A130" s="23">
        <v>21.75</v>
      </c>
      <c r="B130" s="40">
        <f t="shared" si="4"/>
        <v>0.3796091123</v>
      </c>
      <c r="C130" s="29">
        <f>MAX(Inputs!$C$68*COS($B130)+Inputs!$B$68*ABS(SIN($B130)),Inputs!$C$69*COS($B130)+Inputs!$B$69*ABS(SIN($B130)),Inputs!$C$70*COS($B130)+Inputs!$B$70*ABS(SIN($B130)),Inputs!$C$71*COS($B130)+Inputs!$B$71*ABS(SIN($B130)),Inputs!$C$72*COS($B130)+Inputs!$B$72*ABS(SIN($B130)))</f>
        <v>221.1090527</v>
      </c>
      <c r="D130" s="108">
        <f>IF(C130&lt;=Inputs!$B$38,1,0)</f>
        <v>1</v>
      </c>
      <c r="E130" s="29">
        <f>Inputs!$B$11*COS(($B130))-Inputs!$B$7*SIN(($B130))</f>
        <v>163.1425272</v>
      </c>
      <c r="F130" s="29">
        <f>Inputs!$B$11*SIN(($B130))+Inputs!$B$7*COS(($B130))</f>
        <v>-150.2421274</v>
      </c>
      <c r="G130" s="29">
        <f>SQRT((E130-Inputs!$B$5)^2+(F130-Inputs!$B$6)^2)</f>
        <v>264.8874155</v>
      </c>
      <c r="H130" s="29">
        <f>MAX(MAX(Inputs!$B$5,(Inputs!$B$5+(E130-Inputs!$B$5)*MIN(1,$B$16/G130)))+$B$7/2,MAX((Inputs!$B$5+(E130-Inputs!$B$5)*MIN(1,$B$16/G130)),E130)+Inputs!$B$41)</f>
        <v>291.8</v>
      </c>
      <c r="I130" s="29">
        <f>MIN(IF(OR(Inputs!$C$68=0,((((Inputs!$C$68*COS(($B130))+Inputs!$B$68*SIN(($B130)))-Inputs!$B$5)*(E130-Inputs!$B$5)+((Inputs!$C$68*SIN(($B130))-Inputs!$B$68*COS(($B130)))-Inputs!$B$6)*(F130-Inputs!$B$6))/G130)&lt;0,((((Inputs!$C$68*COS(($B130))+Inputs!$B$68*SIN(($B130)))-Inputs!$B$5)*(E130-Inputs!$B$5)+((Inputs!$C$68*SIN(($B130))-Inputs!$B$68*COS(($B130)))-Inputs!$B$6)*(F130-Inputs!$B$6))/G130)&gt;G130-Inputs!$B$40),999,(ABS((E130-Inputs!$B$5)*((Inputs!$C$68*SIN(($B130))-Inputs!$B$68*COS(($B130)))-Inputs!$B$6)-(F130-Inputs!$B$6)*((Inputs!$C$68*COS(($B130))+Inputs!$B$68*SIN(($B130)))-Inputs!$B$5))/G130)-IF(((((Inputs!$C$68*COS(($B130))+Inputs!$B$68*SIN(($B130)))-Inputs!$B$5)*(E130-Inputs!$B$5)+((Inputs!$C$68*SIN(($B130))-Inputs!$B$68*COS(($B130)))-Inputs!$B$6)*(F130-Inputs!$B$6))/G130)&lt;$B$16,$B$7/2,$B$8/2)-Inputs!$B$39),IF(OR(Inputs!$C$69=0,((((Inputs!$C$69*COS(($B130))+Inputs!$B$69*SIN(($B130)))-Inputs!$B$5)*(E130-Inputs!$B$5)+((Inputs!$C$69*SIN(($B130))-Inputs!$B$69*COS(($B130)))-Inputs!$B$6)*(F130-Inputs!$B$6))/G130)&lt;0,((((Inputs!$C$69*COS(($B130))+Inputs!$B$69*SIN(($B130)))-Inputs!$B$5)*(E130-Inputs!$B$5)+((Inputs!$C$69*SIN(($B130))-Inputs!$B$69*COS(($B130)))-Inputs!$B$6)*(F130-Inputs!$B$6))/G130)&gt;G130-Inputs!$B$40),999,(ABS((E130-Inputs!$B$5)*((Inputs!$C$69*SIN(($B130))-Inputs!$B$69*COS(($B130)))-Inputs!$B$6)-(F130-Inputs!$B$6)*((Inputs!$C$69*COS(($B130))+Inputs!$B$69*SIN(($B130)))-Inputs!$B$5))/G130)-IF(((((Inputs!$C$69*COS(($B130))+Inputs!$B$69*SIN(($B130)))-Inputs!$B$5)*(E130-Inputs!$B$5)+((Inputs!$C$69*SIN(($B130))-Inputs!$B$69*COS(($B130)))-Inputs!$B$6)*(F130-Inputs!$B$6))/G130)&lt;$B$16,$B$7/2,$B$8/2)-Inputs!$B$39),IF(OR(Inputs!$C$70=0,((((Inputs!$C$70*COS(($B130))+Inputs!$B$70*SIN(($B130)))-Inputs!$B$5)*(E130-Inputs!$B$5)+((Inputs!$C$70*SIN(($B130))-Inputs!$B$70*COS(($B130)))-Inputs!$B$6)*(F130-Inputs!$B$6))/G130)&lt;0,((((Inputs!$C$70*COS(($B130))+Inputs!$B$70*SIN(($B130)))-Inputs!$B$5)*(E130-Inputs!$B$5)+((Inputs!$C$70*SIN(($B130))-Inputs!$B$70*COS(($B130)))-Inputs!$B$6)*(F130-Inputs!$B$6))/G130)&gt;G130-Inputs!$B$40),999,(ABS((E130-Inputs!$B$5)*((Inputs!$C$70*SIN(($B130))-Inputs!$B$70*COS(($B130)))-Inputs!$B$6)-(F130-Inputs!$B$6)*((Inputs!$C$70*COS(($B130))+Inputs!$B$70*SIN(($B130)))-Inputs!$B$5))/G130)-IF(((((Inputs!$C$70*COS(($B130))+Inputs!$B$70*SIN(($B130)))-Inputs!$B$5)*(E130-Inputs!$B$5)+((Inputs!$C$70*SIN(($B130))-Inputs!$B$70*COS(($B130)))-Inputs!$B$6)*(F130-Inputs!$B$6))/G130)&lt;$B$16,$B$7/2,$B$8/2)-Inputs!$B$39),IF(OR(Inputs!$C$71=0,((((Inputs!$C$71*COS(($B130))+Inputs!$B$71*SIN(($B130)))-Inputs!$B$5)*(E130-Inputs!$B$5)+((Inputs!$C$71*SIN(($B130))-Inputs!$B$71*COS(($B130)))-Inputs!$B$6)*(F130-Inputs!$B$6))/G130)&lt;0,((((Inputs!$C$71*COS(($B130))+Inputs!$B$71*SIN(($B130)))-Inputs!$B$5)*(E130-Inputs!$B$5)+((Inputs!$C$71*SIN(($B130))-Inputs!$B$71*COS(($B130)))-Inputs!$B$6)*(F130-Inputs!$B$6))/G130)&gt;G130-Inputs!$B$40),999,(ABS((E130-Inputs!$B$5)*((Inputs!$C$71*SIN(($B130))-Inputs!$B$71*COS(($B130)))-Inputs!$B$6)-(F130-Inputs!$B$6)*((Inputs!$C$71*COS(($B130))+Inputs!$B$71*SIN(($B130)))-Inputs!$B$5))/G130)-IF(((((Inputs!$C$71*COS(($B130))+Inputs!$B$71*SIN(($B130)))-Inputs!$B$5)*(E130-Inputs!$B$5)+((Inputs!$C$71*SIN(($B130))-Inputs!$B$71*COS(($B130)))-Inputs!$B$6)*(F130-Inputs!$B$6))/G130)&lt;$B$16,$B$7/2,$B$8/2)-Inputs!$B$39),IF(OR(Inputs!$C$72=0,((((Inputs!$C$72*COS(($B130))+Inputs!$B$72*SIN(($B130)))-Inputs!$B$5)*(E130-Inputs!$B$5)+((Inputs!$C$72*SIN(($B130))-Inputs!$B$72*COS(($B130)))-Inputs!$B$6)*(F130-Inputs!$B$6))/G130)&lt;0,((((Inputs!$C$72*COS(($B130))+Inputs!$B$72*SIN(($B130)))-Inputs!$B$5)*(E130-Inputs!$B$5)+((Inputs!$C$72*SIN(($B130))-Inputs!$B$72*COS(($B130)))-Inputs!$B$6)*(F130-Inputs!$B$6))/G130)&gt;G130-Inputs!$B$40),999,(ABS((E130-Inputs!$B$5)*((Inputs!$C$72*SIN(($B130))-Inputs!$B$72*COS(($B130)))-Inputs!$B$6)-(F130-Inputs!$B$6)*((Inputs!$C$72*COS(($B130))+Inputs!$B$72*SIN(($B130)))-Inputs!$B$5))/G130)-IF(((((Inputs!$C$72*COS(($B130))+Inputs!$B$72*SIN(($B130)))-Inputs!$B$5)*(E130-Inputs!$B$5)+((Inputs!$C$72*SIN(($B130))-Inputs!$B$72*COS(($B130)))-Inputs!$B$6)*(F130-Inputs!$B$6))/G130)&lt;$B$16,$B$7/2,$B$8/2)-Inputs!$B$39))</f>
        <v>47.37054831</v>
      </c>
      <c r="J130" s="76">
        <f>IF(AND(G130&gt;=$B$14,G130&lt;=$B$15,H130&lt;=Inputs!$B$38,I130&gt;=0,$D130=1),1,0)</f>
        <v>0</v>
      </c>
      <c r="K130" s="29">
        <f>Inputs!$B$11*COS((-$B130))-Inputs!$B$7*SIN((-$B130))</f>
        <v>14.91955219</v>
      </c>
      <c r="L130" s="29">
        <f>Inputs!$B$11*SIN((-$B130))+Inputs!$B$7*COS((-$B130))</f>
        <v>-221.2816937</v>
      </c>
      <c r="M130" s="29">
        <f>SQRT((K130-Inputs!$B$5)^2+(L130-Inputs!$B$6)^2)</f>
        <v>398.1014239</v>
      </c>
      <c r="N130" s="29">
        <f>MAX(MAX(Inputs!$B$5,(Inputs!$B$5+(K130-Inputs!$B$5)*MIN(1,$B$16/M130)))+$B$7/2,MAX((Inputs!$B$5+(K130-Inputs!$B$5)*MIN(1,$B$16/M130)),K130)+Inputs!$B$41)</f>
        <v>291.8</v>
      </c>
      <c r="O130" s="29">
        <f>MIN(IF(OR(Inputs!$C$68=0,((((Inputs!$C$68*COS((-$B130))+Inputs!$B$68*SIN((-$B130)))-Inputs!$B$5)*(K130-Inputs!$B$5)+((Inputs!$C$68*SIN((-$B130))-Inputs!$B$68*COS((-$B130)))-Inputs!$B$6)*(L130-Inputs!$B$6))/M130)&lt;0,((((Inputs!$C$68*COS((-$B130))+Inputs!$B$68*SIN((-$B130)))-Inputs!$B$5)*(K130-Inputs!$B$5)+((Inputs!$C$68*SIN((-$B130))-Inputs!$B$68*COS((-$B130)))-Inputs!$B$6)*(L130-Inputs!$B$6))/M130)&gt;M130-Inputs!$B$40),999,(ABS((K130-Inputs!$B$5)*((Inputs!$C$68*SIN((-$B130))-Inputs!$B$68*COS((-$B130)))-Inputs!$B$6)-(L130-Inputs!$B$6)*((Inputs!$C$68*COS((-$B130))+Inputs!$B$68*SIN((-$B130)))-Inputs!$B$5))/M130)-IF(((((Inputs!$C$68*COS((-$B130))+Inputs!$B$68*SIN((-$B130)))-Inputs!$B$5)*(K130-Inputs!$B$5)+((Inputs!$C$68*SIN((-$B130))-Inputs!$B$68*COS((-$B130)))-Inputs!$B$6)*(L130-Inputs!$B$6))/M130)&lt;$B$16,$B$7/2,$B$8/2)-Inputs!$B$39),IF(OR(Inputs!$C$69=0,((((Inputs!$C$69*COS((-$B130))+Inputs!$B$69*SIN((-$B130)))-Inputs!$B$5)*(K130-Inputs!$B$5)+((Inputs!$C$69*SIN((-$B130))-Inputs!$B$69*COS((-$B130)))-Inputs!$B$6)*(L130-Inputs!$B$6))/M130)&lt;0,((((Inputs!$C$69*COS((-$B130))+Inputs!$B$69*SIN((-$B130)))-Inputs!$B$5)*(K130-Inputs!$B$5)+((Inputs!$C$69*SIN((-$B130))-Inputs!$B$69*COS((-$B130)))-Inputs!$B$6)*(L130-Inputs!$B$6))/M130)&gt;M130-Inputs!$B$40),999,(ABS((K130-Inputs!$B$5)*((Inputs!$C$69*SIN((-$B130))-Inputs!$B$69*COS((-$B130)))-Inputs!$B$6)-(L130-Inputs!$B$6)*((Inputs!$C$69*COS((-$B130))+Inputs!$B$69*SIN((-$B130)))-Inputs!$B$5))/M130)-IF(((((Inputs!$C$69*COS((-$B130))+Inputs!$B$69*SIN((-$B130)))-Inputs!$B$5)*(K130-Inputs!$B$5)+((Inputs!$C$69*SIN((-$B130))-Inputs!$B$69*COS((-$B130)))-Inputs!$B$6)*(L130-Inputs!$B$6))/M130)&lt;$B$16,$B$7/2,$B$8/2)-Inputs!$B$39),IF(OR(Inputs!$C$70=0,((((Inputs!$C$70*COS((-$B130))+Inputs!$B$70*SIN((-$B130)))-Inputs!$B$5)*(K130-Inputs!$B$5)+((Inputs!$C$70*SIN((-$B130))-Inputs!$B$70*COS((-$B130)))-Inputs!$B$6)*(L130-Inputs!$B$6))/M130)&lt;0,((((Inputs!$C$70*COS((-$B130))+Inputs!$B$70*SIN((-$B130)))-Inputs!$B$5)*(K130-Inputs!$B$5)+((Inputs!$C$70*SIN((-$B130))-Inputs!$B$70*COS((-$B130)))-Inputs!$B$6)*(L130-Inputs!$B$6))/M130)&gt;M130-Inputs!$B$40),999,(ABS((K130-Inputs!$B$5)*((Inputs!$C$70*SIN((-$B130))-Inputs!$B$70*COS((-$B130)))-Inputs!$B$6)-(L130-Inputs!$B$6)*((Inputs!$C$70*COS((-$B130))+Inputs!$B$70*SIN((-$B130)))-Inputs!$B$5))/M130)-IF(((((Inputs!$C$70*COS((-$B130))+Inputs!$B$70*SIN((-$B130)))-Inputs!$B$5)*(K130-Inputs!$B$5)+((Inputs!$C$70*SIN((-$B130))-Inputs!$B$70*COS((-$B130)))-Inputs!$B$6)*(L130-Inputs!$B$6))/M130)&lt;$B$16,$B$7/2,$B$8/2)-Inputs!$B$39),IF(OR(Inputs!$C$71=0,((((Inputs!$C$71*COS((-$B130))+Inputs!$B$71*SIN((-$B130)))-Inputs!$B$5)*(K130-Inputs!$B$5)+((Inputs!$C$71*SIN((-$B130))-Inputs!$B$71*COS((-$B130)))-Inputs!$B$6)*(L130-Inputs!$B$6))/M130)&lt;0,((((Inputs!$C$71*COS((-$B130))+Inputs!$B$71*SIN((-$B130)))-Inputs!$B$5)*(K130-Inputs!$B$5)+((Inputs!$C$71*SIN((-$B130))-Inputs!$B$71*COS((-$B130)))-Inputs!$B$6)*(L130-Inputs!$B$6))/M130)&gt;M130-Inputs!$B$40),999,(ABS((K130-Inputs!$B$5)*((Inputs!$C$71*SIN((-$B130))-Inputs!$B$71*COS((-$B130)))-Inputs!$B$6)-(L130-Inputs!$B$6)*((Inputs!$C$71*COS((-$B130))+Inputs!$B$71*SIN((-$B130)))-Inputs!$B$5))/M130)-IF(((((Inputs!$C$71*COS((-$B130))+Inputs!$B$71*SIN((-$B130)))-Inputs!$B$5)*(K130-Inputs!$B$5)+((Inputs!$C$71*SIN((-$B130))-Inputs!$B$71*COS((-$B130)))-Inputs!$B$6)*(L130-Inputs!$B$6))/M130)&lt;$B$16,$B$7/2,$B$8/2)-Inputs!$B$39),IF(OR(Inputs!$C$72=0,((((Inputs!$C$72*COS((-$B130))+Inputs!$B$72*SIN((-$B130)))-Inputs!$B$5)*(K130-Inputs!$B$5)+((Inputs!$C$72*SIN((-$B130))-Inputs!$B$72*COS((-$B130)))-Inputs!$B$6)*(L130-Inputs!$B$6))/M130)&lt;0,((((Inputs!$C$72*COS((-$B130))+Inputs!$B$72*SIN((-$B130)))-Inputs!$B$5)*(K130-Inputs!$B$5)+((Inputs!$C$72*SIN((-$B130))-Inputs!$B$72*COS((-$B130)))-Inputs!$B$6)*(L130-Inputs!$B$6))/M130)&gt;M130-Inputs!$B$40),999,(ABS((K130-Inputs!$B$5)*((Inputs!$C$72*SIN((-$B130))-Inputs!$B$72*COS((-$B130)))-Inputs!$B$6)-(L130-Inputs!$B$6)*((Inputs!$C$72*COS((-$B130))+Inputs!$B$72*SIN((-$B130)))-Inputs!$B$5))/M130)-IF(((((Inputs!$C$72*COS((-$B130))+Inputs!$B$72*SIN((-$B130)))-Inputs!$B$5)*(K130-Inputs!$B$5)+((Inputs!$C$72*SIN((-$B130))-Inputs!$B$72*COS((-$B130)))-Inputs!$B$6)*(L130-Inputs!$B$6))/M130)&lt;$B$16,$B$7/2,$B$8/2)-Inputs!$B$39))</f>
        <v>23.58801358</v>
      </c>
      <c r="P130" s="76">
        <f>IF(AND(M130&gt;=$B$14,M130&lt;=$B$15,N130&lt;=Inputs!$B$38,O130&gt;=0,$D130=1),1,0)</f>
        <v>0</v>
      </c>
    </row>
    <row r="131" ht="15.75" customHeight="1">
      <c r="A131" s="23">
        <v>22.0</v>
      </c>
      <c r="B131" s="40">
        <f t="shared" si="4"/>
        <v>0.3839724354</v>
      </c>
      <c r="C131" s="29">
        <f>MAX(Inputs!$C$68*COS($B131)+Inputs!$B$68*ABS(SIN($B131)),Inputs!$C$69*COS($B131)+Inputs!$B$69*ABS(SIN($B131)),Inputs!$C$70*COS($B131)+Inputs!$B$70*ABS(SIN($B131)),Inputs!$C$71*COS($B131)+Inputs!$B$71*ABS(SIN($B131)),Inputs!$C$72*COS($B131)+Inputs!$B$72*ABS(SIN($B131)))</f>
        <v>222.594932</v>
      </c>
      <c r="D131" s="108">
        <f>IF(C131&lt;=Inputs!$B$38,1,0)</f>
        <v>1</v>
      </c>
      <c r="E131" s="29">
        <f>Inputs!$B$11*COS(($B131))-Inputs!$B$7*SIN(($B131))</f>
        <v>163.7965271</v>
      </c>
      <c r="F131" s="29">
        <f>Inputs!$B$11*SIN(($B131))+Inputs!$B$7*COS(($B131))</f>
        <v>-149.5288559</v>
      </c>
      <c r="G131" s="29">
        <f>SQRT((E131-Inputs!$B$5)^2+(F131-Inputs!$B$6)^2)</f>
        <v>263.9994104</v>
      </c>
      <c r="H131" s="29">
        <f>MAX(MAX(Inputs!$B$5,(Inputs!$B$5+(E131-Inputs!$B$5)*MIN(1,$B$16/G131)))+$B$7/2,MAX((Inputs!$B$5+(E131-Inputs!$B$5)*MIN(1,$B$16/G131)),E131)+Inputs!$B$41)</f>
        <v>291.8</v>
      </c>
      <c r="I131" s="29">
        <f>MIN(IF(OR(Inputs!$C$68=0,((((Inputs!$C$68*COS(($B131))+Inputs!$B$68*SIN(($B131)))-Inputs!$B$5)*(E131-Inputs!$B$5)+((Inputs!$C$68*SIN(($B131))-Inputs!$B$68*COS(($B131)))-Inputs!$B$6)*(F131-Inputs!$B$6))/G131)&lt;0,((((Inputs!$C$68*COS(($B131))+Inputs!$B$68*SIN(($B131)))-Inputs!$B$5)*(E131-Inputs!$B$5)+((Inputs!$C$68*SIN(($B131))-Inputs!$B$68*COS(($B131)))-Inputs!$B$6)*(F131-Inputs!$B$6))/G131)&gt;G131-Inputs!$B$40),999,(ABS((E131-Inputs!$B$5)*((Inputs!$C$68*SIN(($B131))-Inputs!$B$68*COS(($B131)))-Inputs!$B$6)-(F131-Inputs!$B$6)*((Inputs!$C$68*COS(($B131))+Inputs!$B$68*SIN(($B131)))-Inputs!$B$5))/G131)-IF(((((Inputs!$C$68*COS(($B131))+Inputs!$B$68*SIN(($B131)))-Inputs!$B$5)*(E131-Inputs!$B$5)+((Inputs!$C$68*SIN(($B131))-Inputs!$B$68*COS(($B131)))-Inputs!$B$6)*(F131-Inputs!$B$6))/G131)&lt;$B$16,$B$7/2,$B$8/2)-Inputs!$B$39),IF(OR(Inputs!$C$69=0,((((Inputs!$C$69*COS(($B131))+Inputs!$B$69*SIN(($B131)))-Inputs!$B$5)*(E131-Inputs!$B$5)+((Inputs!$C$69*SIN(($B131))-Inputs!$B$69*COS(($B131)))-Inputs!$B$6)*(F131-Inputs!$B$6))/G131)&lt;0,((((Inputs!$C$69*COS(($B131))+Inputs!$B$69*SIN(($B131)))-Inputs!$B$5)*(E131-Inputs!$B$5)+((Inputs!$C$69*SIN(($B131))-Inputs!$B$69*COS(($B131)))-Inputs!$B$6)*(F131-Inputs!$B$6))/G131)&gt;G131-Inputs!$B$40),999,(ABS((E131-Inputs!$B$5)*((Inputs!$C$69*SIN(($B131))-Inputs!$B$69*COS(($B131)))-Inputs!$B$6)-(F131-Inputs!$B$6)*((Inputs!$C$69*COS(($B131))+Inputs!$B$69*SIN(($B131)))-Inputs!$B$5))/G131)-IF(((((Inputs!$C$69*COS(($B131))+Inputs!$B$69*SIN(($B131)))-Inputs!$B$5)*(E131-Inputs!$B$5)+((Inputs!$C$69*SIN(($B131))-Inputs!$B$69*COS(($B131)))-Inputs!$B$6)*(F131-Inputs!$B$6))/G131)&lt;$B$16,$B$7/2,$B$8/2)-Inputs!$B$39),IF(OR(Inputs!$C$70=0,((((Inputs!$C$70*COS(($B131))+Inputs!$B$70*SIN(($B131)))-Inputs!$B$5)*(E131-Inputs!$B$5)+((Inputs!$C$70*SIN(($B131))-Inputs!$B$70*COS(($B131)))-Inputs!$B$6)*(F131-Inputs!$B$6))/G131)&lt;0,((((Inputs!$C$70*COS(($B131))+Inputs!$B$70*SIN(($B131)))-Inputs!$B$5)*(E131-Inputs!$B$5)+((Inputs!$C$70*SIN(($B131))-Inputs!$B$70*COS(($B131)))-Inputs!$B$6)*(F131-Inputs!$B$6))/G131)&gt;G131-Inputs!$B$40),999,(ABS((E131-Inputs!$B$5)*((Inputs!$C$70*SIN(($B131))-Inputs!$B$70*COS(($B131)))-Inputs!$B$6)-(F131-Inputs!$B$6)*((Inputs!$C$70*COS(($B131))+Inputs!$B$70*SIN(($B131)))-Inputs!$B$5))/G131)-IF(((((Inputs!$C$70*COS(($B131))+Inputs!$B$70*SIN(($B131)))-Inputs!$B$5)*(E131-Inputs!$B$5)+((Inputs!$C$70*SIN(($B131))-Inputs!$B$70*COS(($B131)))-Inputs!$B$6)*(F131-Inputs!$B$6))/G131)&lt;$B$16,$B$7/2,$B$8/2)-Inputs!$B$39),IF(OR(Inputs!$C$71=0,((((Inputs!$C$71*COS(($B131))+Inputs!$B$71*SIN(($B131)))-Inputs!$B$5)*(E131-Inputs!$B$5)+((Inputs!$C$71*SIN(($B131))-Inputs!$B$71*COS(($B131)))-Inputs!$B$6)*(F131-Inputs!$B$6))/G131)&lt;0,((((Inputs!$C$71*COS(($B131))+Inputs!$B$71*SIN(($B131)))-Inputs!$B$5)*(E131-Inputs!$B$5)+((Inputs!$C$71*SIN(($B131))-Inputs!$B$71*COS(($B131)))-Inputs!$B$6)*(F131-Inputs!$B$6))/G131)&gt;G131-Inputs!$B$40),999,(ABS((E131-Inputs!$B$5)*((Inputs!$C$71*SIN(($B131))-Inputs!$B$71*COS(($B131)))-Inputs!$B$6)-(F131-Inputs!$B$6)*((Inputs!$C$71*COS(($B131))+Inputs!$B$71*SIN(($B131)))-Inputs!$B$5))/G131)-IF(((((Inputs!$C$71*COS(($B131))+Inputs!$B$71*SIN(($B131)))-Inputs!$B$5)*(E131-Inputs!$B$5)+((Inputs!$C$71*SIN(($B131))-Inputs!$B$71*COS(($B131)))-Inputs!$B$6)*(F131-Inputs!$B$6))/G131)&lt;$B$16,$B$7/2,$B$8/2)-Inputs!$B$39),IF(OR(Inputs!$C$72=0,((((Inputs!$C$72*COS(($B131))+Inputs!$B$72*SIN(($B131)))-Inputs!$B$5)*(E131-Inputs!$B$5)+((Inputs!$C$72*SIN(($B131))-Inputs!$B$72*COS(($B131)))-Inputs!$B$6)*(F131-Inputs!$B$6))/G131)&lt;0,((((Inputs!$C$72*COS(($B131))+Inputs!$B$72*SIN(($B131)))-Inputs!$B$5)*(E131-Inputs!$B$5)+((Inputs!$C$72*SIN(($B131))-Inputs!$B$72*COS(($B131)))-Inputs!$B$6)*(F131-Inputs!$B$6))/G131)&gt;G131-Inputs!$B$40),999,(ABS((E131-Inputs!$B$5)*((Inputs!$C$72*SIN(($B131))-Inputs!$B$72*COS(($B131)))-Inputs!$B$6)-(F131-Inputs!$B$6)*((Inputs!$C$72*COS(($B131))+Inputs!$B$72*SIN(($B131)))-Inputs!$B$5))/G131)-IF(((((Inputs!$C$72*COS(($B131))+Inputs!$B$72*SIN(($B131)))-Inputs!$B$5)*(E131-Inputs!$B$5)+((Inputs!$C$72*SIN(($B131))-Inputs!$B$72*COS(($B131)))-Inputs!$B$6)*(F131-Inputs!$B$6))/G131)&lt;$B$16,$B$7/2,$B$8/2)-Inputs!$B$39))</f>
        <v>47.54202163</v>
      </c>
      <c r="J131" s="76">
        <f>IF(AND(G131&gt;=$B$14,G131&lt;=$B$15,H131&lt;=Inputs!$B$38,I131&gt;=0,$D131=1),1,0)</f>
        <v>0</v>
      </c>
      <c r="K131" s="29">
        <f>Inputs!$B$11*COS((-$B131))-Inputs!$B$7*SIN((-$B131))</f>
        <v>13.9538897</v>
      </c>
      <c r="L131" s="29">
        <f>Inputs!$B$11*SIN((-$B131))+Inputs!$B$7*COS((-$B131))</f>
        <v>-221.3446859</v>
      </c>
      <c r="M131" s="29">
        <f>SQRT((K131-Inputs!$B$5)^2+(L131-Inputs!$B$6)^2)</f>
        <v>398.7231789</v>
      </c>
      <c r="N131" s="29">
        <f>MAX(MAX(Inputs!$B$5,(Inputs!$B$5+(K131-Inputs!$B$5)*MIN(1,$B$16/M131)))+$B$7/2,MAX((Inputs!$B$5+(K131-Inputs!$B$5)*MIN(1,$B$16/M131)),K131)+Inputs!$B$41)</f>
        <v>291.8</v>
      </c>
      <c r="O131" s="29">
        <f>MIN(IF(OR(Inputs!$C$68=0,((((Inputs!$C$68*COS((-$B131))+Inputs!$B$68*SIN((-$B131)))-Inputs!$B$5)*(K131-Inputs!$B$5)+((Inputs!$C$68*SIN((-$B131))-Inputs!$B$68*COS((-$B131)))-Inputs!$B$6)*(L131-Inputs!$B$6))/M131)&lt;0,((((Inputs!$C$68*COS((-$B131))+Inputs!$B$68*SIN((-$B131)))-Inputs!$B$5)*(K131-Inputs!$B$5)+((Inputs!$C$68*SIN((-$B131))-Inputs!$B$68*COS((-$B131)))-Inputs!$B$6)*(L131-Inputs!$B$6))/M131)&gt;M131-Inputs!$B$40),999,(ABS((K131-Inputs!$B$5)*((Inputs!$C$68*SIN((-$B131))-Inputs!$B$68*COS((-$B131)))-Inputs!$B$6)-(L131-Inputs!$B$6)*((Inputs!$C$68*COS((-$B131))+Inputs!$B$68*SIN((-$B131)))-Inputs!$B$5))/M131)-IF(((((Inputs!$C$68*COS((-$B131))+Inputs!$B$68*SIN((-$B131)))-Inputs!$B$5)*(K131-Inputs!$B$5)+((Inputs!$C$68*SIN((-$B131))-Inputs!$B$68*COS((-$B131)))-Inputs!$B$6)*(L131-Inputs!$B$6))/M131)&lt;$B$16,$B$7/2,$B$8/2)-Inputs!$B$39),IF(OR(Inputs!$C$69=0,((((Inputs!$C$69*COS((-$B131))+Inputs!$B$69*SIN((-$B131)))-Inputs!$B$5)*(K131-Inputs!$B$5)+((Inputs!$C$69*SIN((-$B131))-Inputs!$B$69*COS((-$B131)))-Inputs!$B$6)*(L131-Inputs!$B$6))/M131)&lt;0,((((Inputs!$C$69*COS((-$B131))+Inputs!$B$69*SIN((-$B131)))-Inputs!$B$5)*(K131-Inputs!$B$5)+((Inputs!$C$69*SIN((-$B131))-Inputs!$B$69*COS((-$B131)))-Inputs!$B$6)*(L131-Inputs!$B$6))/M131)&gt;M131-Inputs!$B$40),999,(ABS((K131-Inputs!$B$5)*((Inputs!$C$69*SIN((-$B131))-Inputs!$B$69*COS((-$B131)))-Inputs!$B$6)-(L131-Inputs!$B$6)*((Inputs!$C$69*COS((-$B131))+Inputs!$B$69*SIN((-$B131)))-Inputs!$B$5))/M131)-IF(((((Inputs!$C$69*COS((-$B131))+Inputs!$B$69*SIN((-$B131)))-Inputs!$B$5)*(K131-Inputs!$B$5)+((Inputs!$C$69*SIN((-$B131))-Inputs!$B$69*COS((-$B131)))-Inputs!$B$6)*(L131-Inputs!$B$6))/M131)&lt;$B$16,$B$7/2,$B$8/2)-Inputs!$B$39),IF(OR(Inputs!$C$70=0,((((Inputs!$C$70*COS((-$B131))+Inputs!$B$70*SIN((-$B131)))-Inputs!$B$5)*(K131-Inputs!$B$5)+((Inputs!$C$70*SIN((-$B131))-Inputs!$B$70*COS((-$B131)))-Inputs!$B$6)*(L131-Inputs!$B$6))/M131)&lt;0,((((Inputs!$C$70*COS((-$B131))+Inputs!$B$70*SIN((-$B131)))-Inputs!$B$5)*(K131-Inputs!$B$5)+((Inputs!$C$70*SIN((-$B131))-Inputs!$B$70*COS((-$B131)))-Inputs!$B$6)*(L131-Inputs!$B$6))/M131)&gt;M131-Inputs!$B$40),999,(ABS((K131-Inputs!$B$5)*((Inputs!$C$70*SIN((-$B131))-Inputs!$B$70*COS((-$B131)))-Inputs!$B$6)-(L131-Inputs!$B$6)*((Inputs!$C$70*COS((-$B131))+Inputs!$B$70*SIN((-$B131)))-Inputs!$B$5))/M131)-IF(((((Inputs!$C$70*COS((-$B131))+Inputs!$B$70*SIN((-$B131)))-Inputs!$B$5)*(K131-Inputs!$B$5)+((Inputs!$C$70*SIN((-$B131))-Inputs!$B$70*COS((-$B131)))-Inputs!$B$6)*(L131-Inputs!$B$6))/M131)&lt;$B$16,$B$7/2,$B$8/2)-Inputs!$B$39),IF(OR(Inputs!$C$71=0,((((Inputs!$C$71*COS((-$B131))+Inputs!$B$71*SIN((-$B131)))-Inputs!$B$5)*(K131-Inputs!$B$5)+((Inputs!$C$71*SIN((-$B131))-Inputs!$B$71*COS((-$B131)))-Inputs!$B$6)*(L131-Inputs!$B$6))/M131)&lt;0,((((Inputs!$C$71*COS((-$B131))+Inputs!$B$71*SIN((-$B131)))-Inputs!$B$5)*(K131-Inputs!$B$5)+((Inputs!$C$71*SIN((-$B131))-Inputs!$B$71*COS((-$B131)))-Inputs!$B$6)*(L131-Inputs!$B$6))/M131)&gt;M131-Inputs!$B$40),999,(ABS((K131-Inputs!$B$5)*((Inputs!$C$71*SIN((-$B131))-Inputs!$B$71*COS((-$B131)))-Inputs!$B$6)-(L131-Inputs!$B$6)*((Inputs!$C$71*COS((-$B131))+Inputs!$B$71*SIN((-$B131)))-Inputs!$B$5))/M131)-IF(((((Inputs!$C$71*COS((-$B131))+Inputs!$B$71*SIN((-$B131)))-Inputs!$B$5)*(K131-Inputs!$B$5)+((Inputs!$C$71*SIN((-$B131))-Inputs!$B$71*COS((-$B131)))-Inputs!$B$6)*(L131-Inputs!$B$6))/M131)&lt;$B$16,$B$7/2,$B$8/2)-Inputs!$B$39),IF(OR(Inputs!$C$72=0,((((Inputs!$C$72*COS((-$B131))+Inputs!$B$72*SIN((-$B131)))-Inputs!$B$5)*(K131-Inputs!$B$5)+((Inputs!$C$72*SIN((-$B131))-Inputs!$B$72*COS((-$B131)))-Inputs!$B$6)*(L131-Inputs!$B$6))/M131)&lt;0,((((Inputs!$C$72*COS((-$B131))+Inputs!$B$72*SIN((-$B131)))-Inputs!$B$5)*(K131-Inputs!$B$5)+((Inputs!$C$72*SIN((-$B131))-Inputs!$B$72*COS((-$B131)))-Inputs!$B$6)*(L131-Inputs!$B$6))/M131)&gt;M131-Inputs!$B$40),999,(ABS((K131-Inputs!$B$5)*((Inputs!$C$72*SIN((-$B131))-Inputs!$B$72*COS((-$B131)))-Inputs!$B$6)-(L131-Inputs!$B$6)*((Inputs!$C$72*COS((-$B131))+Inputs!$B$72*SIN((-$B131)))-Inputs!$B$5))/M131)-IF(((((Inputs!$C$72*COS((-$B131))+Inputs!$B$72*SIN((-$B131)))-Inputs!$B$5)*(K131-Inputs!$B$5)+((Inputs!$C$72*SIN((-$B131))-Inputs!$B$72*COS((-$B131)))-Inputs!$B$6)*(L131-Inputs!$B$6))/M131)&lt;$B$16,$B$7/2,$B$8/2)-Inputs!$B$39))</f>
        <v>23.25300472</v>
      </c>
      <c r="P131" s="76">
        <f>IF(AND(M131&gt;=$B$14,M131&lt;=$B$15,N131&lt;=Inputs!$B$38,O131&gt;=0,$D131=1),1,0)</f>
        <v>0</v>
      </c>
    </row>
    <row r="132" ht="15.75" customHeight="1">
      <c r="A132" s="23">
        <v>22.25</v>
      </c>
      <c r="B132" s="40">
        <f t="shared" si="4"/>
        <v>0.3883357586</v>
      </c>
      <c r="C132" s="29">
        <f>MAX(Inputs!$C$68*COS($B132)+Inputs!$B$68*ABS(SIN($B132)),Inputs!$C$69*COS($B132)+Inputs!$B$69*ABS(SIN($B132)),Inputs!$C$70*COS($B132)+Inputs!$B$70*ABS(SIN($B132)),Inputs!$C$71*COS($B132)+Inputs!$B$71*ABS(SIN($B132)),Inputs!$C$72*COS($B132)+Inputs!$B$72*ABS(SIN($B132)))</f>
        <v>224.0765733</v>
      </c>
      <c r="D132" s="108">
        <f>IF(C132&lt;=Inputs!$B$38,1,0)</f>
        <v>1</v>
      </c>
      <c r="E132" s="29">
        <f>Inputs!$B$11*COS(($B132))-Inputs!$B$7*SIN(($B132))</f>
        <v>164.4474085</v>
      </c>
      <c r="F132" s="29">
        <f>Inputs!$B$11*SIN(($B132))+Inputs!$B$7*COS(($B132))</f>
        <v>-148.8127376</v>
      </c>
      <c r="G132" s="29">
        <f>SQRT((E132-Inputs!$B$5)^2+(F132-Inputs!$B$6)^2)</f>
        <v>263.1102892</v>
      </c>
      <c r="H132" s="29">
        <f>MAX(MAX(Inputs!$B$5,(Inputs!$B$5+(E132-Inputs!$B$5)*MIN(1,$B$16/G132)))+$B$7/2,MAX((Inputs!$B$5+(E132-Inputs!$B$5)*MIN(1,$B$16/G132)),E132)+Inputs!$B$41)</f>
        <v>291.8</v>
      </c>
      <c r="I132" s="29">
        <f>MIN(IF(OR(Inputs!$C$68=0,((((Inputs!$C$68*COS(($B132))+Inputs!$B$68*SIN(($B132)))-Inputs!$B$5)*(E132-Inputs!$B$5)+((Inputs!$C$68*SIN(($B132))-Inputs!$B$68*COS(($B132)))-Inputs!$B$6)*(F132-Inputs!$B$6))/G132)&lt;0,((((Inputs!$C$68*COS(($B132))+Inputs!$B$68*SIN(($B132)))-Inputs!$B$5)*(E132-Inputs!$B$5)+((Inputs!$C$68*SIN(($B132))-Inputs!$B$68*COS(($B132)))-Inputs!$B$6)*(F132-Inputs!$B$6))/G132)&gt;G132-Inputs!$B$40),999,(ABS((E132-Inputs!$B$5)*((Inputs!$C$68*SIN(($B132))-Inputs!$B$68*COS(($B132)))-Inputs!$B$6)-(F132-Inputs!$B$6)*((Inputs!$C$68*COS(($B132))+Inputs!$B$68*SIN(($B132)))-Inputs!$B$5))/G132)-IF(((((Inputs!$C$68*COS(($B132))+Inputs!$B$68*SIN(($B132)))-Inputs!$B$5)*(E132-Inputs!$B$5)+((Inputs!$C$68*SIN(($B132))-Inputs!$B$68*COS(($B132)))-Inputs!$B$6)*(F132-Inputs!$B$6))/G132)&lt;$B$16,$B$7/2,$B$8/2)-Inputs!$B$39),IF(OR(Inputs!$C$69=0,((((Inputs!$C$69*COS(($B132))+Inputs!$B$69*SIN(($B132)))-Inputs!$B$5)*(E132-Inputs!$B$5)+((Inputs!$C$69*SIN(($B132))-Inputs!$B$69*COS(($B132)))-Inputs!$B$6)*(F132-Inputs!$B$6))/G132)&lt;0,((((Inputs!$C$69*COS(($B132))+Inputs!$B$69*SIN(($B132)))-Inputs!$B$5)*(E132-Inputs!$B$5)+((Inputs!$C$69*SIN(($B132))-Inputs!$B$69*COS(($B132)))-Inputs!$B$6)*(F132-Inputs!$B$6))/G132)&gt;G132-Inputs!$B$40),999,(ABS((E132-Inputs!$B$5)*((Inputs!$C$69*SIN(($B132))-Inputs!$B$69*COS(($B132)))-Inputs!$B$6)-(F132-Inputs!$B$6)*((Inputs!$C$69*COS(($B132))+Inputs!$B$69*SIN(($B132)))-Inputs!$B$5))/G132)-IF(((((Inputs!$C$69*COS(($B132))+Inputs!$B$69*SIN(($B132)))-Inputs!$B$5)*(E132-Inputs!$B$5)+((Inputs!$C$69*SIN(($B132))-Inputs!$B$69*COS(($B132)))-Inputs!$B$6)*(F132-Inputs!$B$6))/G132)&lt;$B$16,$B$7/2,$B$8/2)-Inputs!$B$39),IF(OR(Inputs!$C$70=0,((((Inputs!$C$70*COS(($B132))+Inputs!$B$70*SIN(($B132)))-Inputs!$B$5)*(E132-Inputs!$B$5)+((Inputs!$C$70*SIN(($B132))-Inputs!$B$70*COS(($B132)))-Inputs!$B$6)*(F132-Inputs!$B$6))/G132)&lt;0,((((Inputs!$C$70*COS(($B132))+Inputs!$B$70*SIN(($B132)))-Inputs!$B$5)*(E132-Inputs!$B$5)+((Inputs!$C$70*SIN(($B132))-Inputs!$B$70*COS(($B132)))-Inputs!$B$6)*(F132-Inputs!$B$6))/G132)&gt;G132-Inputs!$B$40),999,(ABS((E132-Inputs!$B$5)*((Inputs!$C$70*SIN(($B132))-Inputs!$B$70*COS(($B132)))-Inputs!$B$6)-(F132-Inputs!$B$6)*((Inputs!$C$70*COS(($B132))+Inputs!$B$70*SIN(($B132)))-Inputs!$B$5))/G132)-IF(((((Inputs!$C$70*COS(($B132))+Inputs!$B$70*SIN(($B132)))-Inputs!$B$5)*(E132-Inputs!$B$5)+((Inputs!$C$70*SIN(($B132))-Inputs!$B$70*COS(($B132)))-Inputs!$B$6)*(F132-Inputs!$B$6))/G132)&lt;$B$16,$B$7/2,$B$8/2)-Inputs!$B$39),IF(OR(Inputs!$C$71=0,((((Inputs!$C$71*COS(($B132))+Inputs!$B$71*SIN(($B132)))-Inputs!$B$5)*(E132-Inputs!$B$5)+((Inputs!$C$71*SIN(($B132))-Inputs!$B$71*COS(($B132)))-Inputs!$B$6)*(F132-Inputs!$B$6))/G132)&lt;0,((((Inputs!$C$71*COS(($B132))+Inputs!$B$71*SIN(($B132)))-Inputs!$B$5)*(E132-Inputs!$B$5)+((Inputs!$C$71*SIN(($B132))-Inputs!$B$71*COS(($B132)))-Inputs!$B$6)*(F132-Inputs!$B$6))/G132)&gt;G132-Inputs!$B$40),999,(ABS((E132-Inputs!$B$5)*((Inputs!$C$71*SIN(($B132))-Inputs!$B$71*COS(($B132)))-Inputs!$B$6)-(F132-Inputs!$B$6)*((Inputs!$C$71*COS(($B132))+Inputs!$B$71*SIN(($B132)))-Inputs!$B$5))/G132)-IF(((((Inputs!$C$71*COS(($B132))+Inputs!$B$71*SIN(($B132)))-Inputs!$B$5)*(E132-Inputs!$B$5)+((Inputs!$C$71*SIN(($B132))-Inputs!$B$71*COS(($B132)))-Inputs!$B$6)*(F132-Inputs!$B$6))/G132)&lt;$B$16,$B$7/2,$B$8/2)-Inputs!$B$39),IF(OR(Inputs!$C$72=0,((((Inputs!$C$72*COS(($B132))+Inputs!$B$72*SIN(($B132)))-Inputs!$B$5)*(E132-Inputs!$B$5)+((Inputs!$C$72*SIN(($B132))-Inputs!$B$72*COS(($B132)))-Inputs!$B$6)*(F132-Inputs!$B$6))/G132)&lt;0,((((Inputs!$C$72*COS(($B132))+Inputs!$B$72*SIN(($B132)))-Inputs!$B$5)*(E132-Inputs!$B$5)+((Inputs!$C$72*SIN(($B132))-Inputs!$B$72*COS(($B132)))-Inputs!$B$6)*(F132-Inputs!$B$6))/G132)&gt;G132-Inputs!$B$40),999,(ABS((E132-Inputs!$B$5)*((Inputs!$C$72*SIN(($B132))-Inputs!$B$72*COS(($B132)))-Inputs!$B$6)-(F132-Inputs!$B$6)*((Inputs!$C$72*COS(($B132))+Inputs!$B$72*SIN(($B132)))-Inputs!$B$5))/G132)-IF(((((Inputs!$C$72*COS(($B132))+Inputs!$B$72*SIN(($B132)))-Inputs!$B$5)*(E132-Inputs!$B$5)+((Inputs!$C$72*SIN(($B132))-Inputs!$B$72*COS(($B132)))-Inputs!$B$6)*(F132-Inputs!$B$6))/G132)&lt;$B$16,$B$7/2,$B$8/2)-Inputs!$B$39))</f>
        <v>47.71300115</v>
      </c>
      <c r="J132" s="76">
        <f>IF(AND(G132&gt;=$B$14,G132&lt;=$B$15,H132&lt;=Inputs!$B$38,I132&gt;=0,$D132=1),1,0)</f>
        <v>0</v>
      </c>
      <c r="K132" s="29">
        <f>Inputs!$B$11*COS((-$B132))-Inputs!$B$7*SIN((-$B132))</f>
        <v>12.98796154</v>
      </c>
      <c r="L132" s="29">
        <f>Inputs!$B$11*SIN((-$B132))+Inputs!$B$7*COS((-$B132))</f>
        <v>-221.403464</v>
      </c>
      <c r="M132" s="29">
        <f>SQRT((K132-Inputs!$B$5)^2+(L132-Inputs!$B$6)^2)</f>
        <v>399.3430769</v>
      </c>
      <c r="N132" s="29">
        <f>MAX(MAX(Inputs!$B$5,(Inputs!$B$5+(K132-Inputs!$B$5)*MIN(1,$B$16/M132)))+$B$7/2,MAX((Inputs!$B$5+(K132-Inputs!$B$5)*MIN(1,$B$16/M132)),K132)+Inputs!$B$41)</f>
        <v>291.8</v>
      </c>
      <c r="O132" s="29">
        <f>MIN(IF(OR(Inputs!$C$68=0,((((Inputs!$C$68*COS((-$B132))+Inputs!$B$68*SIN((-$B132)))-Inputs!$B$5)*(K132-Inputs!$B$5)+((Inputs!$C$68*SIN((-$B132))-Inputs!$B$68*COS((-$B132)))-Inputs!$B$6)*(L132-Inputs!$B$6))/M132)&lt;0,((((Inputs!$C$68*COS((-$B132))+Inputs!$B$68*SIN((-$B132)))-Inputs!$B$5)*(K132-Inputs!$B$5)+((Inputs!$C$68*SIN((-$B132))-Inputs!$B$68*COS((-$B132)))-Inputs!$B$6)*(L132-Inputs!$B$6))/M132)&gt;M132-Inputs!$B$40),999,(ABS((K132-Inputs!$B$5)*((Inputs!$C$68*SIN((-$B132))-Inputs!$B$68*COS((-$B132)))-Inputs!$B$6)-(L132-Inputs!$B$6)*((Inputs!$C$68*COS((-$B132))+Inputs!$B$68*SIN((-$B132)))-Inputs!$B$5))/M132)-IF(((((Inputs!$C$68*COS((-$B132))+Inputs!$B$68*SIN((-$B132)))-Inputs!$B$5)*(K132-Inputs!$B$5)+((Inputs!$C$68*SIN((-$B132))-Inputs!$B$68*COS((-$B132)))-Inputs!$B$6)*(L132-Inputs!$B$6))/M132)&lt;$B$16,$B$7/2,$B$8/2)-Inputs!$B$39),IF(OR(Inputs!$C$69=0,((((Inputs!$C$69*COS((-$B132))+Inputs!$B$69*SIN((-$B132)))-Inputs!$B$5)*(K132-Inputs!$B$5)+((Inputs!$C$69*SIN((-$B132))-Inputs!$B$69*COS((-$B132)))-Inputs!$B$6)*(L132-Inputs!$B$6))/M132)&lt;0,((((Inputs!$C$69*COS((-$B132))+Inputs!$B$69*SIN((-$B132)))-Inputs!$B$5)*(K132-Inputs!$B$5)+((Inputs!$C$69*SIN((-$B132))-Inputs!$B$69*COS((-$B132)))-Inputs!$B$6)*(L132-Inputs!$B$6))/M132)&gt;M132-Inputs!$B$40),999,(ABS((K132-Inputs!$B$5)*((Inputs!$C$69*SIN((-$B132))-Inputs!$B$69*COS((-$B132)))-Inputs!$B$6)-(L132-Inputs!$B$6)*((Inputs!$C$69*COS((-$B132))+Inputs!$B$69*SIN((-$B132)))-Inputs!$B$5))/M132)-IF(((((Inputs!$C$69*COS((-$B132))+Inputs!$B$69*SIN((-$B132)))-Inputs!$B$5)*(K132-Inputs!$B$5)+((Inputs!$C$69*SIN((-$B132))-Inputs!$B$69*COS((-$B132)))-Inputs!$B$6)*(L132-Inputs!$B$6))/M132)&lt;$B$16,$B$7/2,$B$8/2)-Inputs!$B$39),IF(OR(Inputs!$C$70=0,((((Inputs!$C$70*COS((-$B132))+Inputs!$B$70*SIN((-$B132)))-Inputs!$B$5)*(K132-Inputs!$B$5)+((Inputs!$C$70*SIN((-$B132))-Inputs!$B$70*COS((-$B132)))-Inputs!$B$6)*(L132-Inputs!$B$6))/M132)&lt;0,((((Inputs!$C$70*COS((-$B132))+Inputs!$B$70*SIN((-$B132)))-Inputs!$B$5)*(K132-Inputs!$B$5)+((Inputs!$C$70*SIN((-$B132))-Inputs!$B$70*COS((-$B132)))-Inputs!$B$6)*(L132-Inputs!$B$6))/M132)&gt;M132-Inputs!$B$40),999,(ABS((K132-Inputs!$B$5)*((Inputs!$C$70*SIN((-$B132))-Inputs!$B$70*COS((-$B132)))-Inputs!$B$6)-(L132-Inputs!$B$6)*((Inputs!$C$70*COS((-$B132))+Inputs!$B$70*SIN((-$B132)))-Inputs!$B$5))/M132)-IF(((((Inputs!$C$70*COS((-$B132))+Inputs!$B$70*SIN((-$B132)))-Inputs!$B$5)*(K132-Inputs!$B$5)+((Inputs!$C$70*SIN((-$B132))-Inputs!$B$70*COS((-$B132)))-Inputs!$B$6)*(L132-Inputs!$B$6))/M132)&lt;$B$16,$B$7/2,$B$8/2)-Inputs!$B$39),IF(OR(Inputs!$C$71=0,((((Inputs!$C$71*COS((-$B132))+Inputs!$B$71*SIN((-$B132)))-Inputs!$B$5)*(K132-Inputs!$B$5)+((Inputs!$C$71*SIN((-$B132))-Inputs!$B$71*COS((-$B132)))-Inputs!$B$6)*(L132-Inputs!$B$6))/M132)&lt;0,((((Inputs!$C$71*COS((-$B132))+Inputs!$B$71*SIN((-$B132)))-Inputs!$B$5)*(K132-Inputs!$B$5)+((Inputs!$C$71*SIN((-$B132))-Inputs!$B$71*COS((-$B132)))-Inputs!$B$6)*(L132-Inputs!$B$6))/M132)&gt;M132-Inputs!$B$40),999,(ABS((K132-Inputs!$B$5)*((Inputs!$C$71*SIN((-$B132))-Inputs!$B$71*COS((-$B132)))-Inputs!$B$6)-(L132-Inputs!$B$6)*((Inputs!$C$71*COS((-$B132))+Inputs!$B$71*SIN((-$B132)))-Inputs!$B$5))/M132)-IF(((((Inputs!$C$71*COS((-$B132))+Inputs!$B$71*SIN((-$B132)))-Inputs!$B$5)*(K132-Inputs!$B$5)+((Inputs!$C$71*SIN((-$B132))-Inputs!$B$71*COS((-$B132)))-Inputs!$B$6)*(L132-Inputs!$B$6))/M132)&lt;$B$16,$B$7/2,$B$8/2)-Inputs!$B$39),IF(OR(Inputs!$C$72=0,((((Inputs!$C$72*COS((-$B132))+Inputs!$B$72*SIN((-$B132)))-Inputs!$B$5)*(K132-Inputs!$B$5)+((Inputs!$C$72*SIN((-$B132))-Inputs!$B$72*COS((-$B132)))-Inputs!$B$6)*(L132-Inputs!$B$6))/M132)&lt;0,((((Inputs!$C$72*COS((-$B132))+Inputs!$B$72*SIN((-$B132)))-Inputs!$B$5)*(K132-Inputs!$B$5)+((Inputs!$C$72*SIN((-$B132))-Inputs!$B$72*COS((-$B132)))-Inputs!$B$6)*(L132-Inputs!$B$6))/M132)&gt;M132-Inputs!$B$40),999,(ABS((K132-Inputs!$B$5)*((Inputs!$C$72*SIN((-$B132))-Inputs!$B$72*COS((-$B132)))-Inputs!$B$6)-(L132-Inputs!$B$6)*((Inputs!$C$72*COS((-$B132))+Inputs!$B$72*SIN((-$B132)))-Inputs!$B$5))/M132)-IF(((((Inputs!$C$72*COS((-$B132))+Inputs!$B$72*SIN((-$B132)))-Inputs!$B$5)*(K132-Inputs!$B$5)+((Inputs!$C$72*SIN((-$B132))-Inputs!$B$72*COS((-$B132)))-Inputs!$B$6)*(L132-Inputs!$B$6))/M132)&lt;$B$16,$B$7/2,$B$8/2)-Inputs!$B$39))</f>
        <v>22.91787074</v>
      </c>
      <c r="P132" s="76">
        <f>IF(AND(M132&gt;=$B$14,M132&lt;=$B$15,N132&lt;=Inputs!$B$38,O132&gt;=0,$D132=1),1,0)</f>
        <v>0</v>
      </c>
    </row>
    <row r="133" ht="15.75" customHeight="1">
      <c r="A133" s="23">
        <v>22.5</v>
      </c>
      <c r="B133" s="40">
        <f t="shared" si="4"/>
        <v>0.3926990817</v>
      </c>
      <c r="C133" s="29">
        <f>MAX(Inputs!$C$68*COS($B133)+Inputs!$B$68*ABS(SIN($B133)),Inputs!$C$69*COS($B133)+Inputs!$B$69*ABS(SIN($B133)),Inputs!$C$70*COS($B133)+Inputs!$B$70*ABS(SIN($B133)),Inputs!$C$71*COS($B133)+Inputs!$B$71*ABS(SIN($B133)),Inputs!$C$72*COS($B133)+Inputs!$B$72*ABS(SIN($B133)))</f>
        <v>225.5539485</v>
      </c>
      <c r="D133" s="108">
        <f>IF(C133&lt;=Inputs!$B$38,1,0)</f>
        <v>1</v>
      </c>
      <c r="E133" s="29">
        <f>Inputs!$B$11*COS(($B133))-Inputs!$B$7*SIN(($B133))</f>
        <v>165.0951591</v>
      </c>
      <c r="F133" s="29">
        <f>Inputs!$B$11*SIN(($B133))+Inputs!$B$7*COS(($B133))</f>
        <v>-148.0937861</v>
      </c>
      <c r="G133" s="29">
        <f>SQRT((E133-Inputs!$B$5)^2+(F133-Inputs!$B$6)^2)</f>
        <v>262.2200578</v>
      </c>
      <c r="H133" s="29">
        <f>MAX(MAX(Inputs!$B$5,(Inputs!$B$5+(E133-Inputs!$B$5)*MIN(1,$B$16/G133)))+$B$7/2,MAX((Inputs!$B$5+(E133-Inputs!$B$5)*MIN(1,$B$16/G133)),E133)+Inputs!$B$41)</f>
        <v>291.8</v>
      </c>
      <c r="I133" s="29">
        <f>MIN(IF(OR(Inputs!$C$68=0,((((Inputs!$C$68*COS(($B133))+Inputs!$B$68*SIN(($B133)))-Inputs!$B$5)*(E133-Inputs!$B$5)+((Inputs!$C$68*SIN(($B133))-Inputs!$B$68*COS(($B133)))-Inputs!$B$6)*(F133-Inputs!$B$6))/G133)&lt;0,((((Inputs!$C$68*COS(($B133))+Inputs!$B$68*SIN(($B133)))-Inputs!$B$5)*(E133-Inputs!$B$5)+((Inputs!$C$68*SIN(($B133))-Inputs!$B$68*COS(($B133)))-Inputs!$B$6)*(F133-Inputs!$B$6))/G133)&gt;G133-Inputs!$B$40),999,(ABS((E133-Inputs!$B$5)*((Inputs!$C$68*SIN(($B133))-Inputs!$B$68*COS(($B133)))-Inputs!$B$6)-(F133-Inputs!$B$6)*((Inputs!$C$68*COS(($B133))+Inputs!$B$68*SIN(($B133)))-Inputs!$B$5))/G133)-IF(((((Inputs!$C$68*COS(($B133))+Inputs!$B$68*SIN(($B133)))-Inputs!$B$5)*(E133-Inputs!$B$5)+((Inputs!$C$68*SIN(($B133))-Inputs!$B$68*COS(($B133)))-Inputs!$B$6)*(F133-Inputs!$B$6))/G133)&lt;$B$16,$B$7/2,$B$8/2)-Inputs!$B$39),IF(OR(Inputs!$C$69=0,((((Inputs!$C$69*COS(($B133))+Inputs!$B$69*SIN(($B133)))-Inputs!$B$5)*(E133-Inputs!$B$5)+((Inputs!$C$69*SIN(($B133))-Inputs!$B$69*COS(($B133)))-Inputs!$B$6)*(F133-Inputs!$B$6))/G133)&lt;0,((((Inputs!$C$69*COS(($B133))+Inputs!$B$69*SIN(($B133)))-Inputs!$B$5)*(E133-Inputs!$B$5)+((Inputs!$C$69*SIN(($B133))-Inputs!$B$69*COS(($B133)))-Inputs!$B$6)*(F133-Inputs!$B$6))/G133)&gt;G133-Inputs!$B$40),999,(ABS((E133-Inputs!$B$5)*((Inputs!$C$69*SIN(($B133))-Inputs!$B$69*COS(($B133)))-Inputs!$B$6)-(F133-Inputs!$B$6)*((Inputs!$C$69*COS(($B133))+Inputs!$B$69*SIN(($B133)))-Inputs!$B$5))/G133)-IF(((((Inputs!$C$69*COS(($B133))+Inputs!$B$69*SIN(($B133)))-Inputs!$B$5)*(E133-Inputs!$B$5)+((Inputs!$C$69*SIN(($B133))-Inputs!$B$69*COS(($B133)))-Inputs!$B$6)*(F133-Inputs!$B$6))/G133)&lt;$B$16,$B$7/2,$B$8/2)-Inputs!$B$39),IF(OR(Inputs!$C$70=0,((((Inputs!$C$70*COS(($B133))+Inputs!$B$70*SIN(($B133)))-Inputs!$B$5)*(E133-Inputs!$B$5)+((Inputs!$C$70*SIN(($B133))-Inputs!$B$70*COS(($B133)))-Inputs!$B$6)*(F133-Inputs!$B$6))/G133)&lt;0,((((Inputs!$C$70*COS(($B133))+Inputs!$B$70*SIN(($B133)))-Inputs!$B$5)*(E133-Inputs!$B$5)+((Inputs!$C$70*SIN(($B133))-Inputs!$B$70*COS(($B133)))-Inputs!$B$6)*(F133-Inputs!$B$6))/G133)&gt;G133-Inputs!$B$40),999,(ABS((E133-Inputs!$B$5)*((Inputs!$C$70*SIN(($B133))-Inputs!$B$70*COS(($B133)))-Inputs!$B$6)-(F133-Inputs!$B$6)*((Inputs!$C$70*COS(($B133))+Inputs!$B$70*SIN(($B133)))-Inputs!$B$5))/G133)-IF(((((Inputs!$C$70*COS(($B133))+Inputs!$B$70*SIN(($B133)))-Inputs!$B$5)*(E133-Inputs!$B$5)+((Inputs!$C$70*SIN(($B133))-Inputs!$B$70*COS(($B133)))-Inputs!$B$6)*(F133-Inputs!$B$6))/G133)&lt;$B$16,$B$7/2,$B$8/2)-Inputs!$B$39),IF(OR(Inputs!$C$71=0,((((Inputs!$C$71*COS(($B133))+Inputs!$B$71*SIN(($B133)))-Inputs!$B$5)*(E133-Inputs!$B$5)+((Inputs!$C$71*SIN(($B133))-Inputs!$B$71*COS(($B133)))-Inputs!$B$6)*(F133-Inputs!$B$6))/G133)&lt;0,((((Inputs!$C$71*COS(($B133))+Inputs!$B$71*SIN(($B133)))-Inputs!$B$5)*(E133-Inputs!$B$5)+((Inputs!$C$71*SIN(($B133))-Inputs!$B$71*COS(($B133)))-Inputs!$B$6)*(F133-Inputs!$B$6))/G133)&gt;G133-Inputs!$B$40),999,(ABS((E133-Inputs!$B$5)*((Inputs!$C$71*SIN(($B133))-Inputs!$B$71*COS(($B133)))-Inputs!$B$6)-(F133-Inputs!$B$6)*((Inputs!$C$71*COS(($B133))+Inputs!$B$71*SIN(($B133)))-Inputs!$B$5))/G133)-IF(((((Inputs!$C$71*COS(($B133))+Inputs!$B$71*SIN(($B133)))-Inputs!$B$5)*(E133-Inputs!$B$5)+((Inputs!$C$71*SIN(($B133))-Inputs!$B$71*COS(($B133)))-Inputs!$B$6)*(F133-Inputs!$B$6))/G133)&lt;$B$16,$B$7/2,$B$8/2)-Inputs!$B$39),IF(OR(Inputs!$C$72=0,((((Inputs!$C$72*COS(($B133))+Inputs!$B$72*SIN(($B133)))-Inputs!$B$5)*(E133-Inputs!$B$5)+((Inputs!$C$72*SIN(($B133))-Inputs!$B$72*COS(($B133)))-Inputs!$B$6)*(F133-Inputs!$B$6))/G133)&lt;0,((((Inputs!$C$72*COS(($B133))+Inputs!$B$72*SIN(($B133)))-Inputs!$B$5)*(E133-Inputs!$B$5)+((Inputs!$C$72*SIN(($B133))-Inputs!$B$72*COS(($B133)))-Inputs!$B$6)*(F133-Inputs!$B$6))/G133)&gt;G133-Inputs!$B$40),999,(ABS((E133-Inputs!$B$5)*((Inputs!$C$72*SIN(($B133))-Inputs!$B$72*COS(($B133)))-Inputs!$B$6)-(F133-Inputs!$B$6)*((Inputs!$C$72*COS(($B133))+Inputs!$B$72*SIN(($B133)))-Inputs!$B$5))/G133)-IF(((((Inputs!$C$72*COS(($B133))+Inputs!$B$72*SIN(($B133)))-Inputs!$B$5)*(E133-Inputs!$B$5)+((Inputs!$C$72*SIN(($B133))-Inputs!$B$72*COS(($B133)))-Inputs!$B$6)*(F133-Inputs!$B$6))/G133)&lt;$B$16,$B$7/2,$B$8/2)-Inputs!$B$39))</f>
        <v>47.88348471</v>
      </c>
      <c r="J133" s="76">
        <f>IF(AND(G133&gt;=$B$14,G133&lt;=$B$15,H133&lt;=Inputs!$B$38,I133&gt;=0,$D133=1),1,0)</f>
        <v>0</v>
      </c>
      <c r="K133" s="29">
        <f>Inputs!$B$11*COS((-$B133))-Inputs!$B$7*SIN((-$B133))</f>
        <v>12.02178612</v>
      </c>
      <c r="L133" s="29">
        <f>Inputs!$B$11*SIN((-$B133))+Inputs!$B$7*COS((-$B133))</f>
        <v>-221.4580269</v>
      </c>
      <c r="M133" s="29">
        <f>SQRT((K133-Inputs!$B$5)^2+(L133-Inputs!$B$6)^2)</f>
        <v>399.9611148</v>
      </c>
      <c r="N133" s="29">
        <f>MAX(MAX(Inputs!$B$5,(Inputs!$B$5+(K133-Inputs!$B$5)*MIN(1,$B$16/M133)))+$B$7/2,MAX((Inputs!$B$5+(K133-Inputs!$B$5)*MIN(1,$B$16/M133)),K133)+Inputs!$B$41)</f>
        <v>291.8</v>
      </c>
      <c r="O133" s="29">
        <f>MIN(IF(OR(Inputs!$C$68=0,((((Inputs!$C$68*COS((-$B133))+Inputs!$B$68*SIN((-$B133)))-Inputs!$B$5)*(K133-Inputs!$B$5)+((Inputs!$C$68*SIN((-$B133))-Inputs!$B$68*COS((-$B133)))-Inputs!$B$6)*(L133-Inputs!$B$6))/M133)&lt;0,((((Inputs!$C$68*COS((-$B133))+Inputs!$B$68*SIN((-$B133)))-Inputs!$B$5)*(K133-Inputs!$B$5)+((Inputs!$C$68*SIN((-$B133))-Inputs!$B$68*COS((-$B133)))-Inputs!$B$6)*(L133-Inputs!$B$6))/M133)&gt;M133-Inputs!$B$40),999,(ABS((K133-Inputs!$B$5)*((Inputs!$C$68*SIN((-$B133))-Inputs!$B$68*COS((-$B133)))-Inputs!$B$6)-(L133-Inputs!$B$6)*((Inputs!$C$68*COS((-$B133))+Inputs!$B$68*SIN((-$B133)))-Inputs!$B$5))/M133)-IF(((((Inputs!$C$68*COS((-$B133))+Inputs!$B$68*SIN((-$B133)))-Inputs!$B$5)*(K133-Inputs!$B$5)+((Inputs!$C$68*SIN((-$B133))-Inputs!$B$68*COS((-$B133)))-Inputs!$B$6)*(L133-Inputs!$B$6))/M133)&lt;$B$16,$B$7/2,$B$8/2)-Inputs!$B$39),IF(OR(Inputs!$C$69=0,((((Inputs!$C$69*COS((-$B133))+Inputs!$B$69*SIN((-$B133)))-Inputs!$B$5)*(K133-Inputs!$B$5)+((Inputs!$C$69*SIN((-$B133))-Inputs!$B$69*COS((-$B133)))-Inputs!$B$6)*(L133-Inputs!$B$6))/M133)&lt;0,((((Inputs!$C$69*COS((-$B133))+Inputs!$B$69*SIN((-$B133)))-Inputs!$B$5)*(K133-Inputs!$B$5)+((Inputs!$C$69*SIN((-$B133))-Inputs!$B$69*COS((-$B133)))-Inputs!$B$6)*(L133-Inputs!$B$6))/M133)&gt;M133-Inputs!$B$40),999,(ABS((K133-Inputs!$B$5)*((Inputs!$C$69*SIN((-$B133))-Inputs!$B$69*COS((-$B133)))-Inputs!$B$6)-(L133-Inputs!$B$6)*((Inputs!$C$69*COS((-$B133))+Inputs!$B$69*SIN((-$B133)))-Inputs!$B$5))/M133)-IF(((((Inputs!$C$69*COS((-$B133))+Inputs!$B$69*SIN((-$B133)))-Inputs!$B$5)*(K133-Inputs!$B$5)+((Inputs!$C$69*SIN((-$B133))-Inputs!$B$69*COS((-$B133)))-Inputs!$B$6)*(L133-Inputs!$B$6))/M133)&lt;$B$16,$B$7/2,$B$8/2)-Inputs!$B$39),IF(OR(Inputs!$C$70=0,((((Inputs!$C$70*COS((-$B133))+Inputs!$B$70*SIN((-$B133)))-Inputs!$B$5)*(K133-Inputs!$B$5)+((Inputs!$C$70*SIN((-$B133))-Inputs!$B$70*COS((-$B133)))-Inputs!$B$6)*(L133-Inputs!$B$6))/M133)&lt;0,((((Inputs!$C$70*COS((-$B133))+Inputs!$B$70*SIN((-$B133)))-Inputs!$B$5)*(K133-Inputs!$B$5)+((Inputs!$C$70*SIN((-$B133))-Inputs!$B$70*COS((-$B133)))-Inputs!$B$6)*(L133-Inputs!$B$6))/M133)&gt;M133-Inputs!$B$40),999,(ABS((K133-Inputs!$B$5)*((Inputs!$C$70*SIN((-$B133))-Inputs!$B$70*COS((-$B133)))-Inputs!$B$6)-(L133-Inputs!$B$6)*((Inputs!$C$70*COS((-$B133))+Inputs!$B$70*SIN((-$B133)))-Inputs!$B$5))/M133)-IF(((((Inputs!$C$70*COS((-$B133))+Inputs!$B$70*SIN((-$B133)))-Inputs!$B$5)*(K133-Inputs!$B$5)+((Inputs!$C$70*SIN((-$B133))-Inputs!$B$70*COS((-$B133)))-Inputs!$B$6)*(L133-Inputs!$B$6))/M133)&lt;$B$16,$B$7/2,$B$8/2)-Inputs!$B$39),IF(OR(Inputs!$C$71=0,((((Inputs!$C$71*COS((-$B133))+Inputs!$B$71*SIN((-$B133)))-Inputs!$B$5)*(K133-Inputs!$B$5)+((Inputs!$C$71*SIN((-$B133))-Inputs!$B$71*COS((-$B133)))-Inputs!$B$6)*(L133-Inputs!$B$6))/M133)&lt;0,((((Inputs!$C$71*COS((-$B133))+Inputs!$B$71*SIN((-$B133)))-Inputs!$B$5)*(K133-Inputs!$B$5)+((Inputs!$C$71*SIN((-$B133))-Inputs!$B$71*COS((-$B133)))-Inputs!$B$6)*(L133-Inputs!$B$6))/M133)&gt;M133-Inputs!$B$40),999,(ABS((K133-Inputs!$B$5)*((Inputs!$C$71*SIN((-$B133))-Inputs!$B$71*COS((-$B133)))-Inputs!$B$6)-(L133-Inputs!$B$6)*((Inputs!$C$71*COS((-$B133))+Inputs!$B$71*SIN((-$B133)))-Inputs!$B$5))/M133)-IF(((((Inputs!$C$71*COS((-$B133))+Inputs!$B$71*SIN((-$B133)))-Inputs!$B$5)*(K133-Inputs!$B$5)+((Inputs!$C$71*SIN((-$B133))-Inputs!$B$71*COS((-$B133)))-Inputs!$B$6)*(L133-Inputs!$B$6))/M133)&lt;$B$16,$B$7/2,$B$8/2)-Inputs!$B$39),IF(OR(Inputs!$C$72=0,((((Inputs!$C$72*COS((-$B133))+Inputs!$B$72*SIN((-$B133)))-Inputs!$B$5)*(K133-Inputs!$B$5)+((Inputs!$C$72*SIN((-$B133))-Inputs!$B$72*COS((-$B133)))-Inputs!$B$6)*(L133-Inputs!$B$6))/M133)&lt;0,((((Inputs!$C$72*COS((-$B133))+Inputs!$B$72*SIN((-$B133)))-Inputs!$B$5)*(K133-Inputs!$B$5)+((Inputs!$C$72*SIN((-$B133))-Inputs!$B$72*COS((-$B133)))-Inputs!$B$6)*(L133-Inputs!$B$6))/M133)&gt;M133-Inputs!$B$40),999,(ABS((K133-Inputs!$B$5)*((Inputs!$C$72*SIN((-$B133))-Inputs!$B$72*COS((-$B133)))-Inputs!$B$6)-(L133-Inputs!$B$6)*((Inputs!$C$72*COS((-$B133))+Inputs!$B$72*SIN((-$B133)))-Inputs!$B$5))/M133)-IF(((((Inputs!$C$72*COS((-$B133))+Inputs!$B$72*SIN((-$B133)))-Inputs!$B$5)*(K133-Inputs!$B$5)+((Inputs!$C$72*SIN((-$B133))-Inputs!$B$72*COS((-$B133)))-Inputs!$B$6)*(L133-Inputs!$B$6))/M133)&lt;$B$16,$B$7/2,$B$8/2)-Inputs!$B$39))</f>
        <v>22.58261302</v>
      </c>
      <c r="P133" s="76">
        <f>IF(AND(M133&gt;=$B$14,M133&lt;=$B$15,N133&lt;=Inputs!$B$38,O133&gt;=0,$D133=1),1,0)</f>
        <v>0</v>
      </c>
    </row>
    <row r="134" ht="15.75" customHeight="1">
      <c r="A134" s="23">
        <v>22.75</v>
      </c>
      <c r="B134" s="40">
        <f t="shared" si="4"/>
        <v>0.3970624048</v>
      </c>
      <c r="C134" s="29">
        <f>MAX(Inputs!$C$68*COS($B134)+Inputs!$B$68*ABS(SIN($B134)),Inputs!$C$69*COS($B134)+Inputs!$B$69*ABS(SIN($B134)),Inputs!$C$70*COS($B134)+Inputs!$B$70*ABS(SIN($B134)),Inputs!$C$71*COS($B134)+Inputs!$B$71*ABS(SIN($B134)),Inputs!$C$72*COS($B134)+Inputs!$B$72*ABS(SIN($B134)))</f>
        <v>227.0270295</v>
      </c>
      <c r="D134" s="108">
        <f>IF(C134&lt;=Inputs!$B$38,1,0)</f>
        <v>1</v>
      </c>
      <c r="E134" s="29">
        <f>Inputs!$B$11*COS(($B134))-Inputs!$B$7*SIN(($B134))</f>
        <v>165.7397665</v>
      </c>
      <c r="F134" s="29">
        <f>Inputs!$B$11*SIN(($B134))+Inputs!$B$7*COS(($B134))</f>
        <v>-147.3720151</v>
      </c>
      <c r="G134" s="29">
        <f>SQRT((E134-Inputs!$B$5)^2+(F134-Inputs!$B$6)^2)</f>
        <v>261.3287218</v>
      </c>
      <c r="H134" s="29">
        <f>MAX(MAX(Inputs!$B$5,(Inputs!$B$5+(E134-Inputs!$B$5)*MIN(1,$B$16/G134)))+$B$7/2,MAX((Inputs!$B$5+(E134-Inputs!$B$5)*MIN(1,$B$16/G134)),E134)+Inputs!$B$41)</f>
        <v>291.8</v>
      </c>
      <c r="I134" s="29">
        <f>MIN(IF(OR(Inputs!$C$68=0,((((Inputs!$C$68*COS(($B134))+Inputs!$B$68*SIN(($B134)))-Inputs!$B$5)*(E134-Inputs!$B$5)+((Inputs!$C$68*SIN(($B134))-Inputs!$B$68*COS(($B134)))-Inputs!$B$6)*(F134-Inputs!$B$6))/G134)&lt;0,((((Inputs!$C$68*COS(($B134))+Inputs!$B$68*SIN(($B134)))-Inputs!$B$5)*(E134-Inputs!$B$5)+((Inputs!$C$68*SIN(($B134))-Inputs!$B$68*COS(($B134)))-Inputs!$B$6)*(F134-Inputs!$B$6))/G134)&gt;G134-Inputs!$B$40),999,(ABS((E134-Inputs!$B$5)*((Inputs!$C$68*SIN(($B134))-Inputs!$B$68*COS(($B134)))-Inputs!$B$6)-(F134-Inputs!$B$6)*((Inputs!$C$68*COS(($B134))+Inputs!$B$68*SIN(($B134)))-Inputs!$B$5))/G134)-IF(((((Inputs!$C$68*COS(($B134))+Inputs!$B$68*SIN(($B134)))-Inputs!$B$5)*(E134-Inputs!$B$5)+((Inputs!$C$68*SIN(($B134))-Inputs!$B$68*COS(($B134)))-Inputs!$B$6)*(F134-Inputs!$B$6))/G134)&lt;$B$16,$B$7/2,$B$8/2)-Inputs!$B$39),IF(OR(Inputs!$C$69=0,((((Inputs!$C$69*COS(($B134))+Inputs!$B$69*SIN(($B134)))-Inputs!$B$5)*(E134-Inputs!$B$5)+((Inputs!$C$69*SIN(($B134))-Inputs!$B$69*COS(($B134)))-Inputs!$B$6)*(F134-Inputs!$B$6))/G134)&lt;0,((((Inputs!$C$69*COS(($B134))+Inputs!$B$69*SIN(($B134)))-Inputs!$B$5)*(E134-Inputs!$B$5)+((Inputs!$C$69*SIN(($B134))-Inputs!$B$69*COS(($B134)))-Inputs!$B$6)*(F134-Inputs!$B$6))/G134)&gt;G134-Inputs!$B$40),999,(ABS((E134-Inputs!$B$5)*((Inputs!$C$69*SIN(($B134))-Inputs!$B$69*COS(($B134)))-Inputs!$B$6)-(F134-Inputs!$B$6)*((Inputs!$C$69*COS(($B134))+Inputs!$B$69*SIN(($B134)))-Inputs!$B$5))/G134)-IF(((((Inputs!$C$69*COS(($B134))+Inputs!$B$69*SIN(($B134)))-Inputs!$B$5)*(E134-Inputs!$B$5)+((Inputs!$C$69*SIN(($B134))-Inputs!$B$69*COS(($B134)))-Inputs!$B$6)*(F134-Inputs!$B$6))/G134)&lt;$B$16,$B$7/2,$B$8/2)-Inputs!$B$39),IF(OR(Inputs!$C$70=0,((((Inputs!$C$70*COS(($B134))+Inputs!$B$70*SIN(($B134)))-Inputs!$B$5)*(E134-Inputs!$B$5)+((Inputs!$C$70*SIN(($B134))-Inputs!$B$70*COS(($B134)))-Inputs!$B$6)*(F134-Inputs!$B$6))/G134)&lt;0,((((Inputs!$C$70*COS(($B134))+Inputs!$B$70*SIN(($B134)))-Inputs!$B$5)*(E134-Inputs!$B$5)+((Inputs!$C$70*SIN(($B134))-Inputs!$B$70*COS(($B134)))-Inputs!$B$6)*(F134-Inputs!$B$6))/G134)&gt;G134-Inputs!$B$40),999,(ABS((E134-Inputs!$B$5)*((Inputs!$C$70*SIN(($B134))-Inputs!$B$70*COS(($B134)))-Inputs!$B$6)-(F134-Inputs!$B$6)*((Inputs!$C$70*COS(($B134))+Inputs!$B$70*SIN(($B134)))-Inputs!$B$5))/G134)-IF(((((Inputs!$C$70*COS(($B134))+Inputs!$B$70*SIN(($B134)))-Inputs!$B$5)*(E134-Inputs!$B$5)+((Inputs!$C$70*SIN(($B134))-Inputs!$B$70*COS(($B134)))-Inputs!$B$6)*(F134-Inputs!$B$6))/G134)&lt;$B$16,$B$7/2,$B$8/2)-Inputs!$B$39),IF(OR(Inputs!$C$71=0,((((Inputs!$C$71*COS(($B134))+Inputs!$B$71*SIN(($B134)))-Inputs!$B$5)*(E134-Inputs!$B$5)+((Inputs!$C$71*SIN(($B134))-Inputs!$B$71*COS(($B134)))-Inputs!$B$6)*(F134-Inputs!$B$6))/G134)&lt;0,((((Inputs!$C$71*COS(($B134))+Inputs!$B$71*SIN(($B134)))-Inputs!$B$5)*(E134-Inputs!$B$5)+((Inputs!$C$71*SIN(($B134))-Inputs!$B$71*COS(($B134)))-Inputs!$B$6)*(F134-Inputs!$B$6))/G134)&gt;G134-Inputs!$B$40),999,(ABS((E134-Inputs!$B$5)*((Inputs!$C$71*SIN(($B134))-Inputs!$B$71*COS(($B134)))-Inputs!$B$6)-(F134-Inputs!$B$6)*((Inputs!$C$71*COS(($B134))+Inputs!$B$71*SIN(($B134)))-Inputs!$B$5))/G134)-IF(((((Inputs!$C$71*COS(($B134))+Inputs!$B$71*SIN(($B134)))-Inputs!$B$5)*(E134-Inputs!$B$5)+((Inputs!$C$71*SIN(($B134))-Inputs!$B$71*COS(($B134)))-Inputs!$B$6)*(F134-Inputs!$B$6))/G134)&lt;$B$16,$B$7/2,$B$8/2)-Inputs!$B$39),IF(OR(Inputs!$C$72=0,((((Inputs!$C$72*COS(($B134))+Inputs!$B$72*SIN(($B134)))-Inputs!$B$5)*(E134-Inputs!$B$5)+((Inputs!$C$72*SIN(($B134))-Inputs!$B$72*COS(($B134)))-Inputs!$B$6)*(F134-Inputs!$B$6))/G134)&lt;0,((((Inputs!$C$72*COS(($B134))+Inputs!$B$72*SIN(($B134)))-Inputs!$B$5)*(E134-Inputs!$B$5)+((Inputs!$C$72*SIN(($B134))-Inputs!$B$72*COS(($B134)))-Inputs!$B$6)*(F134-Inputs!$B$6))/G134)&gt;G134-Inputs!$B$40),999,(ABS((E134-Inputs!$B$5)*((Inputs!$C$72*SIN(($B134))-Inputs!$B$72*COS(($B134)))-Inputs!$B$6)-(F134-Inputs!$B$6)*((Inputs!$C$72*COS(($B134))+Inputs!$B$72*SIN(($B134)))-Inputs!$B$5))/G134)-IF(((((Inputs!$C$72*COS(($B134))+Inputs!$B$72*SIN(($B134)))-Inputs!$B$5)*(E134-Inputs!$B$5)+((Inputs!$C$72*SIN(($B134))-Inputs!$B$72*COS(($B134)))-Inputs!$B$6)*(F134-Inputs!$B$6))/G134)&lt;$B$16,$B$7/2,$B$8/2)-Inputs!$B$39))</f>
        <v>48.05347014</v>
      </c>
      <c r="J134" s="76">
        <f>IF(AND(G134&gt;=$B$14,G134&lt;=$B$15,H134&lt;=Inputs!$B$38,I134&gt;=0,$D134=1),1,0)</f>
        <v>0</v>
      </c>
      <c r="K134" s="29">
        <f>Inputs!$B$11*COS((-$B134))-Inputs!$B$7*SIN((-$B134))</f>
        <v>11.05538181</v>
      </c>
      <c r="L134" s="29">
        <f>Inputs!$B$11*SIN((-$B134))+Inputs!$B$7*COS((-$B134))</f>
        <v>-221.5083736</v>
      </c>
      <c r="M134" s="29">
        <f>SQRT((K134-Inputs!$B$5)^2+(L134-Inputs!$B$6)^2)</f>
        <v>400.5772895</v>
      </c>
      <c r="N134" s="29">
        <f>MAX(MAX(Inputs!$B$5,(Inputs!$B$5+(K134-Inputs!$B$5)*MIN(1,$B$16/M134)))+$B$7/2,MAX((Inputs!$B$5+(K134-Inputs!$B$5)*MIN(1,$B$16/M134)),K134)+Inputs!$B$41)</f>
        <v>291.8</v>
      </c>
      <c r="O134" s="29">
        <f>MIN(IF(OR(Inputs!$C$68=0,((((Inputs!$C$68*COS((-$B134))+Inputs!$B$68*SIN((-$B134)))-Inputs!$B$5)*(K134-Inputs!$B$5)+((Inputs!$C$68*SIN((-$B134))-Inputs!$B$68*COS((-$B134)))-Inputs!$B$6)*(L134-Inputs!$B$6))/M134)&lt;0,((((Inputs!$C$68*COS((-$B134))+Inputs!$B$68*SIN((-$B134)))-Inputs!$B$5)*(K134-Inputs!$B$5)+((Inputs!$C$68*SIN((-$B134))-Inputs!$B$68*COS((-$B134)))-Inputs!$B$6)*(L134-Inputs!$B$6))/M134)&gt;M134-Inputs!$B$40),999,(ABS((K134-Inputs!$B$5)*((Inputs!$C$68*SIN((-$B134))-Inputs!$B$68*COS((-$B134)))-Inputs!$B$6)-(L134-Inputs!$B$6)*((Inputs!$C$68*COS((-$B134))+Inputs!$B$68*SIN((-$B134)))-Inputs!$B$5))/M134)-IF(((((Inputs!$C$68*COS((-$B134))+Inputs!$B$68*SIN((-$B134)))-Inputs!$B$5)*(K134-Inputs!$B$5)+((Inputs!$C$68*SIN((-$B134))-Inputs!$B$68*COS((-$B134)))-Inputs!$B$6)*(L134-Inputs!$B$6))/M134)&lt;$B$16,$B$7/2,$B$8/2)-Inputs!$B$39),IF(OR(Inputs!$C$69=0,((((Inputs!$C$69*COS((-$B134))+Inputs!$B$69*SIN((-$B134)))-Inputs!$B$5)*(K134-Inputs!$B$5)+((Inputs!$C$69*SIN((-$B134))-Inputs!$B$69*COS((-$B134)))-Inputs!$B$6)*(L134-Inputs!$B$6))/M134)&lt;0,((((Inputs!$C$69*COS((-$B134))+Inputs!$B$69*SIN((-$B134)))-Inputs!$B$5)*(K134-Inputs!$B$5)+((Inputs!$C$69*SIN((-$B134))-Inputs!$B$69*COS((-$B134)))-Inputs!$B$6)*(L134-Inputs!$B$6))/M134)&gt;M134-Inputs!$B$40),999,(ABS((K134-Inputs!$B$5)*((Inputs!$C$69*SIN((-$B134))-Inputs!$B$69*COS((-$B134)))-Inputs!$B$6)-(L134-Inputs!$B$6)*((Inputs!$C$69*COS((-$B134))+Inputs!$B$69*SIN((-$B134)))-Inputs!$B$5))/M134)-IF(((((Inputs!$C$69*COS((-$B134))+Inputs!$B$69*SIN((-$B134)))-Inputs!$B$5)*(K134-Inputs!$B$5)+((Inputs!$C$69*SIN((-$B134))-Inputs!$B$69*COS((-$B134)))-Inputs!$B$6)*(L134-Inputs!$B$6))/M134)&lt;$B$16,$B$7/2,$B$8/2)-Inputs!$B$39),IF(OR(Inputs!$C$70=0,((((Inputs!$C$70*COS((-$B134))+Inputs!$B$70*SIN((-$B134)))-Inputs!$B$5)*(K134-Inputs!$B$5)+((Inputs!$C$70*SIN((-$B134))-Inputs!$B$70*COS((-$B134)))-Inputs!$B$6)*(L134-Inputs!$B$6))/M134)&lt;0,((((Inputs!$C$70*COS((-$B134))+Inputs!$B$70*SIN((-$B134)))-Inputs!$B$5)*(K134-Inputs!$B$5)+((Inputs!$C$70*SIN((-$B134))-Inputs!$B$70*COS((-$B134)))-Inputs!$B$6)*(L134-Inputs!$B$6))/M134)&gt;M134-Inputs!$B$40),999,(ABS((K134-Inputs!$B$5)*((Inputs!$C$70*SIN((-$B134))-Inputs!$B$70*COS((-$B134)))-Inputs!$B$6)-(L134-Inputs!$B$6)*((Inputs!$C$70*COS((-$B134))+Inputs!$B$70*SIN((-$B134)))-Inputs!$B$5))/M134)-IF(((((Inputs!$C$70*COS((-$B134))+Inputs!$B$70*SIN((-$B134)))-Inputs!$B$5)*(K134-Inputs!$B$5)+((Inputs!$C$70*SIN((-$B134))-Inputs!$B$70*COS((-$B134)))-Inputs!$B$6)*(L134-Inputs!$B$6))/M134)&lt;$B$16,$B$7/2,$B$8/2)-Inputs!$B$39),IF(OR(Inputs!$C$71=0,((((Inputs!$C$71*COS((-$B134))+Inputs!$B$71*SIN((-$B134)))-Inputs!$B$5)*(K134-Inputs!$B$5)+((Inputs!$C$71*SIN((-$B134))-Inputs!$B$71*COS((-$B134)))-Inputs!$B$6)*(L134-Inputs!$B$6))/M134)&lt;0,((((Inputs!$C$71*COS((-$B134))+Inputs!$B$71*SIN((-$B134)))-Inputs!$B$5)*(K134-Inputs!$B$5)+((Inputs!$C$71*SIN((-$B134))-Inputs!$B$71*COS((-$B134)))-Inputs!$B$6)*(L134-Inputs!$B$6))/M134)&gt;M134-Inputs!$B$40),999,(ABS((K134-Inputs!$B$5)*((Inputs!$C$71*SIN((-$B134))-Inputs!$B$71*COS((-$B134)))-Inputs!$B$6)-(L134-Inputs!$B$6)*((Inputs!$C$71*COS((-$B134))+Inputs!$B$71*SIN((-$B134)))-Inputs!$B$5))/M134)-IF(((((Inputs!$C$71*COS((-$B134))+Inputs!$B$71*SIN((-$B134)))-Inputs!$B$5)*(K134-Inputs!$B$5)+((Inputs!$C$71*SIN((-$B134))-Inputs!$B$71*COS((-$B134)))-Inputs!$B$6)*(L134-Inputs!$B$6))/M134)&lt;$B$16,$B$7/2,$B$8/2)-Inputs!$B$39),IF(OR(Inputs!$C$72=0,((((Inputs!$C$72*COS((-$B134))+Inputs!$B$72*SIN((-$B134)))-Inputs!$B$5)*(K134-Inputs!$B$5)+((Inputs!$C$72*SIN((-$B134))-Inputs!$B$72*COS((-$B134)))-Inputs!$B$6)*(L134-Inputs!$B$6))/M134)&lt;0,((((Inputs!$C$72*COS((-$B134))+Inputs!$B$72*SIN((-$B134)))-Inputs!$B$5)*(K134-Inputs!$B$5)+((Inputs!$C$72*SIN((-$B134))-Inputs!$B$72*COS((-$B134)))-Inputs!$B$6)*(L134-Inputs!$B$6))/M134)&gt;M134-Inputs!$B$40),999,(ABS((K134-Inputs!$B$5)*((Inputs!$C$72*SIN((-$B134))-Inputs!$B$72*COS((-$B134)))-Inputs!$B$6)-(L134-Inputs!$B$6)*((Inputs!$C$72*COS((-$B134))+Inputs!$B$72*SIN((-$B134)))-Inputs!$B$5))/M134)-IF(((((Inputs!$C$72*COS((-$B134))+Inputs!$B$72*SIN((-$B134)))-Inputs!$B$5)*(K134-Inputs!$B$5)+((Inputs!$C$72*SIN((-$B134))-Inputs!$B$72*COS((-$B134)))-Inputs!$B$6)*(L134-Inputs!$B$6))/M134)&lt;$B$16,$B$7/2,$B$8/2)-Inputs!$B$39))</f>
        <v>22.24723295</v>
      </c>
      <c r="P134" s="76">
        <f>IF(AND(M134&gt;=$B$14,M134&lt;=$B$15,N134&lt;=Inputs!$B$38,O134&gt;=0,$D134=1),1,0)</f>
        <v>0</v>
      </c>
    </row>
    <row r="135" ht="15.75" customHeight="1">
      <c r="A135" s="23">
        <v>23.0</v>
      </c>
      <c r="B135" s="40">
        <f t="shared" si="4"/>
        <v>0.401425728</v>
      </c>
      <c r="C135" s="29">
        <f>MAX(Inputs!$C$68*COS($B135)+Inputs!$B$68*ABS(SIN($B135)),Inputs!$C$69*COS($B135)+Inputs!$B$69*ABS(SIN($B135)),Inputs!$C$70*COS($B135)+Inputs!$B$70*ABS(SIN($B135)),Inputs!$C$71*COS($B135)+Inputs!$B$71*ABS(SIN($B135)),Inputs!$C$72*COS($B135)+Inputs!$B$72*ABS(SIN($B135)))</f>
        <v>228.4957883</v>
      </c>
      <c r="D135" s="108">
        <f>IF(C135&lt;=Inputs!$B$38,1,0)</f>
        <v>1</v>
      </c>
      <c r="E135" s="29">
        <f>Inputs!$B$11*COS(($B135))-Inputs!$B$7*SIN(($B135))</f>
        <v>166.3812184</v>
      </c>
      <c r="F135" s="29">
        <f>Inputs!$B$11*SIN(($B135))+Inputs!$B$7*COS(($B135))</f>
        <v>-146.6474384</v>
      </c>
      <c r="G135" s="29">
        <f>SQRT((E135-Inputs!$B$5)^2+(F135-Inputs!$B$6)^2)</f>
        <v>260.4362868</v>
      </c>
      <c r="H135" s="29">
        <f>MAX(MAX(Inputs!$B$5,(Inputs!$B$5+(E135-Inputs!$B$5)*MIN(1,$B$16/G135)))+$B$7/2,MAX((Inputs!$B$5+(E135-Inputs!$B$5)*MIN(1,$B$16/G135)),E135)+Inputs!$B$41)</f>
        <v>291.8</v>
      </c>
      <c r="I135" s="29">
        <f>MIN(IF(OR(Inputs!$C$68=0,((((Inputs!$C$68*COS(($B135))+Inputs!$B$68*SIN(($B135)))-Inputs!$B$5)*(E135-Inputs!$B$5)+((Inputs!$C$68*SIN(($B135))-Inputs!$B$68*COS(($B135)))-Inputs!$B$6)*(F135-Inputs!$B$6))/G135)&lt;0,((((Inputs!$C$68*COS(($B135))+Inputs!$B$68*SIN(($B135)))-Inputs!$B$5)*(E135-Inputs!$B$5)+((Inputs!$C$68*SIN(($B135))-Inputs!$B$68*COS(($B135)))-Inputs!$B$6)*(F135-Inputs!$B$6))/G135)&gt;G135-Inputs!$B$40),999,(ABS((E135-Inputs!$B$5)*((Inputs!$C$68*SIN(($B135))-Inputs!$B$68*COS(($B135)))-Inputs!$B$6)-(F135-Inputs!$B$6)*((Inputs!$C$68*COS(($B135))+Inputs!$B$68*SIN(($B135)))-Inputs!$B$5))/G135)-IF(((((Inputs!$C$68*COS(($B135))+Inputs!$B$68*SIN(($B135)))-Inputs!$B$5)*(E135-Inputs!$B$5)+((Inputs!$C$68*SIN(($B135))-Inputs!$B$68*COS(($B135)))-Inputs!$B$6)*(F135-Inputs!$B$6))/G135)&lt;$B$16,$B$7/2,$B$8/2)-Inputs!$B$39),IF(OR(Inputs!$C$69=0,((((Inputs!$C$69*COS(($B135))+Inputs!$B$69*SIN(($B135)))-Inputs!$B$5)*(E135-Inputs!$B$5)+((Inputs!$C$69*SIN(($B135))-Inputs!$B$69*COS(($B135)))-Inputs!$B$6)*(F135-Inputs!$B$6))/G135)&lt;0,((((Inputs!$C$69*COS(($B135))+Inputs!$B$69*SIN(($B135)))-Inputs!$B$5)*(E135-Inputs!$B$5)+((Inputs!$C$69*SIN(($B135))-Inputs!$B$69*COS(($B135)))-Inputs!$B$6)*(F135-Inputs!$B$6))/G135)&gt;G135-Inputs!$B$40),999,(ABS((E135-Inputs!$B$5)*((Inputs!$C$69*SIN(($B135))-Inputs!$B$69*COS(($B135)))-Inputs!$B$6)-(F135-Inputs!$B$6)*((Inputs!$C$69*COS(($B135))+Inputs!$B$69*SIN(($B135)))-Inputs!$B$5))/G135)-IF(((((Inputs!$C$69*COS(($B135))+Inputs!$B$69*SIN(($B135)))-Inputs!$B$5)*(E135-Inputs!$B$5)+((Inputs!$C$69*SIN(($B135))-Inputs!$B$69*COS(($B135)))-Inputs!$B$6)*(F135-Inputs!$B$6))/G135)&lt;$B$16,$B$7/2,$B$8/2)-Inputs!$B$39),IF(OR(Inputs!$C$70=0,((((Inputs!$C$70*COS(($B135))+Inputs!$B$70*SIN(($B135)))-Inputs!$B$5)*(E135-Inputs!$B$5)+((Inputs!$C$70*SIN(($B135))-Inputs!$B$70*COS(($B135)))-Inputs!$B$6)*(F135-Inputs!$B$6))/G135)&lt;0,((((Inputs!$C$70*COS(($B135))+Inputs!$B$70*SIN(($B135)))-Inputs!$B$5)*(E135-Inputs!$B$5)+((Inputs!$C$70*SIN(($B135))-Inputs!$B$70*COS(($B135)))-Inputs!$B$6)*(F135-Inputs!$B$6))/G135)&gt;G135-Inputs!$B$40),999,(ABS((E135-Inputs!$B$5)*((Inputs!$C$70*SIN(($B135))-Inputs!$B$70*COS(($B135)))-Inputs!$B$6)-(F135-Inputs!$B$6)*((Inputs!$C$70*COS(($B135))+Inputs!$B$70*SIN(($B135)))-Inputs!$B$5))/G135)-IF(((((Inputs!$C$70*COS(($B135))+Inputs!$B$70*SIN(($B135)))-Inputs!$B$5)*(E135-Inputs!$B$5)+((Inputs!$C$70*SIN(($B135))-Inputs!$B$70*COS(($B135)))-Inputs!$B$6)*(F135-Inputs!$B$6))/G135)&lt;$B$16,$B$7/2,$B$8/2)-Inputs!$B$39),IF(OR(Inputs!$C$71=0,((((Inputs!$C$71*COS(($B135))+Inputs!$B$71*SIN(($B135)))-Inputs!$B$5)*(E135-Inputs!$B$5)+((Inputs!$C$71*SIN(($B135))-Inputs!$B$71*COS(($B135)))-Inputs!$B$6)*(F135-Inputs!$B$6))/G135)&lt;0,((((Inputs!$C$71*COS(($B135))+Inputs!$B$71*SIN(($B135)))-Inputs!$B$5)*(E135-Inputs!$B$5)+((Inputs!$C$71*SIN(($B135))-Inputs!$B$71*COS(($B135)))-Inputs!$B$6)*(F135-Inputs!$B$6))/G135)&gt;G135-Inputs!$B$40),999,(ABS((E135-Inputs!$B$5)*((Inputs!$C$71*SIN(($B135))-Inputs!$B$71*COS(($B135)))-Inputs!$B$6)-(F135-Inputs!$B$6)*((Inputs!$C$71*COS(($B135))+Inputs!$B$71*SIN(($B135)))-Inputs!$B$5))/G135)-IF(((((Inputs!$C$71*COS(($B135))+Inputs!$B$71*SIN(($B135)))-Inputs!$B$5)*(E135-Inputs!$B$5)+((Inputs!$C$71*SIN(($B135))-Inputs!$B$71*COS(($B135)))-Inputs!$B$6)*(F135-Inputs!$B$6))/G135)&lt;$B$16,$B$7/2,$B$8/2)-Inputs!$B$39),IF(OR(Inputs!$C$72=0,((((Inputs!$C$72*COS(($B135))+Inputs!$B$72*SIN(($B135)))-Inputs!$B$5)*(E135-Inputs!$B$5)+((Inputs!$C$72*SIN(($B135))-Inputs!$B$72*COS(($B135)))-Inputs!$B$6)*(F135-Inputs!$B$6))/G135)&lt;0,((((Inputs!$C$72*COS(($B135))+Inputs!$B$72*SIN(($B135)))-Inputs!$B$5)*(E135-Inputs!$B$5)+((Inputs!$C$72*SIN(($B135))-Inputs!$B$72*COS(($B135)))-Inputs!$B$6)*(F135-Inputs!$B$6))/G135)&gt;G135-Inputs!$B$40),999,(ABS((E135-Inputs!$B$5)*((Inputs!$C$72*SIN(($B135))-Inputs!$B$72*COS(($B135)))-Inputs!$B$6)-(F135-Inputs!$B$6)*((Inputs!$C$72*COS(($B135))+Inputs!$B$72*SIN(($B135)))-Inputs!$B$5))/G135)-IF(((((Inputs!$C$72*COS(($B135))+Inputs!$B$72*SIN(($B135)))-Inputs!$B$5)*(E135-Inputs!$B$5)+((Inputs!$C$72*SIN(($B135))-Inputs!$B$72*COS(($B135)))-Inputs!$B$6)*(F135-Inputs!$B$6))/G135)&lt;$B$16,$B$7/2,$B$8/2)-Inputs!$B$39))</f>
        <v>48.22295525</v>
      </c>
      <c r="J135" s="76">
        <f>IF(AND(G135&gt;=$B$14,G135&lt;=$B$15,H135&lt;=Inputs!$B$38,I135&gt;=0,$D135=1),1,0)</f>
        <v>0</v>
      </c>
      <c r="K135" s="29">
        <f>Inputs!$B$11*COS((-$B135))-Inputs!$B$7*SIN((-$B135))</f>
        <v>10.08876703</v>
      </c>
      <c r="L135" s="29">
        <f>Inputs!$B$11*SIN((-$B135))+Inputs!$B$7*COS((-$B135))</f>
        <v>-221.554503</v>
      </c>
      <c r="M135" s="29">
        <f>SQRT((K135-Inputs!$B$5)^2+(L135-Inputs!$B$6)^2)</f>
        <v>401.1915978</v>
      </c>
      <c r="N135" s="29">
        <f>MAX(MAX(Inputs!$B$5,(Inputs!$B$5+(K135-Inputs!$B$5)*MIN(1,$B$16/M135)))+$B$7/2,MAX((Inputs!$B$5+(K135-Inputs!$B$5)*MIN(1,$B$16/M135)),K135)+Inputs!$B$41)</f>
        <v>291.8</v>
      </c>
      <c r="O135" s="29">
        <f>MIN(IF(OR(Inputs!$C$68=0,((((Inputs!$C$68*COS((-$B135))+Inputs!$B$68*SIN((-$B135)))-Inputs!$B$5)*(K135-Inputs!$B$5)+((Inputs!$C$68*SIN((-$B135))-Inputs!$B$68*COS((-$B135)))-Inputs!$B$6)*(L135-Inputs!$B$6))/M135)&lt;0,((((Inputs!$C$68*COS((-$B135))+Inputs!$B$68*SIN((-$B135)))-Inputs!$B$5)*(K135-Inputs!$B$5)+((Inputs!$C$68*SIN((-$B135))-Inputs!$B$68*COS((-$B135)))-Inputs!$B$6)*(L135-Inputs!$B$6))/M135)&gt;M135-Inputs!$B$40),999,(ABS((K135-Inputs!$B$5)*((Inputs!$C$68*SIN((-$B135))-Inputs!$B$68*COS((-$B135)))-Inputs!$B$6)-(L135-Inputs!$B$6)*((Inputs!$C$68*COS((-$B135))+Inputs!$B$68*SIN((-$B135)))-Inputs!$B$5))/M135)-IF(((((Inputs!$C$68*COS((-$B135))+Inputs!$B$68*SIN((-$B135)))-Inputs!$B$5)*(K135-Inputs!$B$5)+((Inputs!$C$68*SIN((-$B135))-Inputs!$B$68*COS((-$B135)))-Inputs!$B$6)*(L135-Inputs!$B$6))/M135)&lt;$B$16,$B$7/2,$B$8/2)-Inputs!$B$39),IF(OR(Inputs!$C$69=0,((((Inputs!$C$69*COS((-$B135))+Inputs!$B$69*SIN((-$B135)))-Inputs!$B$5)*(K135-Inputs!$B$5)+((Inputs!$C$69*SIN((-$B135))-Inputs!$B$69*COS((-$B135)))-Inputs!$B$6)*(L135-Inputs!$B$6))/M135)&lt;0,((((Inputs!$C$69*COS((-$B135))+Inputs!$B$69*SIN((-$B135)))-Inputs!$B$5)*(K135-Inputs!$B$5)+((Inputs!$C$69*SIN((-$B135))-Inputs!$B$69*COS((-$B135)))-Inputs!$B$6)*(L135-Inputs!$B$6))/M135)&gt;M135-Inputs!$B$40),999,(ABS((K135-Inputs!$B$5)*((Inputs!$C$69*SIN((-$B135))-Inputs!$B$69*COS((-$B135)))-Inputs!$B$6)-(L135-Inputs!$B$6)*((Inputs!$C$69*COS((-$B135))+Inputs!$B$69*SIN((-$B135)))-Inputs!$B$5))/M135)-IF(((((Inputs!$C$69*COS((-$B135))+Inputs!$B$69*SIN((-$B135)))-Inputs!$B$5)*(K135-Inputs!$B$5)+((Inputs!$C$69*SIN((-$B135))-Inputs!$B$69*COS((-$B135)))-Inputs!$B$6)*(L135-Inputs!$B$6))/M135)&lt;$B$16,$B$7/2,$B$8/2)-Inputs!$B$39),IF(OR(Inputs!$C$70=0,((((Inputs!$C$70*COS((-$B135))+Inputs!$B$70*SIN((-$B135)))-Inputs!$B$5)*(K135-Inputs!$B$5)+((Inputs!$C$70*SIN((-$B135))-Inputs!$B$70*COS((-$B135)))-Inputs!$B$6)*(L135-Inputs!$B$6))/M135)&lt;0,((((Inputs!$C$70*COS((-$B135))+Inputs!$B$70*SIN((-$B135)))-Inputs!$B$5)*(K135-Inputs!$B$5)+((Inputs!$C$70*SIN((-$B135))-Inputs!$B$70*COS((-$B135)))-Inputs!$B$6)*(L135-Inputs!$B$6))/M135)&gt;M135-Inputs!$B$40),999,(ABS((K135-Inputs!$B$5)*((Inputs!$C$70*SIN((-$B135))-Inputs!$B$70*COS((-$B135)))-Inputs!$B$6)-(L135-Inputs!$B$6)*((Inputs!$C$70*COS((-$B135))+Inputs!$B$70*SIN((-$B135)))-Inputs!$B$5))/M135)-IF(((((Inputs!$C$70*COS((-$B135))+Inputs!$B$70*SIN((-$B135)))-Inputs!$B$5)*(K135-Inputs!$B$5)+((Inputs!$C$70*SIN((-$B135))-Inputs!$B$70*COS((-$B135)))-Inputs!$B$6)*(L135-Inputs!$B$6))/M135)&lt;$B$16,$B$7/2,$B$8/2)-Inputs!$B$39),IF(OR(Inputs!$C$71=0,((((Inputs!$C$71*COS((-$B135))+Inputs!$B$71*SIN((-$B135)))-Inputs!$B$5)*(K135-Inputs!$B$5)+((Inputs!$C$71*SIN((-$B135))-Inputs!$B$71*COS((-$B135)))-Inputs!$B$6)*(L135-Inputs!$B$6))/M135)&lt;0,((((Inputs!$C$71*COS((-$B135))+Inputs!$B$71*SIN((-$B135)))-Inputs!$B$5)*(K135-Inputs!$B$5)+((Inputs!$C$71*SIN((-$B135))-Inputs!$B$71*COS((-$B135)))-Inputs!$B$6)*(L135-Inputs!$B$6))/M135)&gt;M135-Inputs!$B$40),999,(ABS((K135-Inputs!$B$5)*((Inputs!$C$71*SIN((-$B135))-Inputs!$B$71*COS((-$B135)))-Inputs!$B$6)-(L135-Inputs!$B$6)*((Inputs!$C$71*COS((-$B135))+Inputs!$B$71*SIN((-$B135)))-Inputs!$B$5))/M135)-IF(((((Inputs!$C$71*COS((-$B135))+Inputs!$B$71*SIN((-$B135)))-Inputs!$B$5)*(K135-Inputs!$B$5)+((Inputs!$C$71*SIN((-$B135))-Inputs!$B$71*COS((-$B135)))-Inputs!$B$6)*(L135-Inputs!$B$6))/M135)&lt;$B$16,$B$7/2,$B$8/2)-Inputs!$B$39),IF(OR(Inputs!$C$72=0,((((Inputs!$C$72*COS((-$B135))+Inputs!$B$72*SIN((-$B135)))-Inputs!$B$5)*(K135-Inputs!$B$5)+((Inputs!$C$72*SIN((-$B135))-Inputs!$B$72*COS((-$B135)))-Inputs!$B$6)*(L135-Inputs!$B$6))/M135)&lt;0,((((Inputs!$C$72*COS((-$B135))+Inputs!$B$72*SIN((-$B135)))-Inputs!$B$5)*(K135-Inputs!$B$5)+((Inputs!$C$72*SIN((-$B135))-Inputs!$B$72*COS((-$B135)))-Inputs!$B$6)*(L135-Inputs!$B$6))/M135)&gt;M135-Inputs!$B$40),999,(ABS((K135-Inputs!$B$5)*((Inputs!$C$72*SIN((-$B135))-Inputs!$B$72*COS((-$B135)))-Inputs!$B$6)-(L135-Inputs!$B$6)*((Inputs!$C$72*COS((-$B135))+Inputs!$B$72*SIN((-$B135)))-Inputs!$B$5))/M135)-IF(((((Inputs!$C$72*COS((-$B135))+Inputs!$B$72*SIN((-$B135)))-Inputs!$B$5)*(K135-Inputs!$B$5)+((Inputs!$C$72*SIN((-$B135))-Inputs!$B$72*COS((-$B135)))-Inputs!$B$6)*(L135-Inputs!$B$6))/M135)&lt;$B$16,$B$7/2,$B$8/2)-Inputs!$B$39))</f>
        <v>21.91173191</v>
      </c>
      <c r="P135" s="76">
        <f>IF(AND(M135&gt;=$B$14,M135&lt;=$B$15,N135&lt;=Inputs!$B$38,O135&gt;=0,$D135=1),1,0)</f>
        <v>0</v>
      </c>
    </row>
    <row r="136" ht="15.75" customHeight="1">
      <c r="A136" s="23">
        <v>23.25</v>
      </c>
      <c r="B136" s="40">
        <f t="shared" si="4"/>
        <v>0.4057890511</v>
      </c>
      <c r="C136" s="29">
        <f>MAX(Inputs!$C$68*COS($B136)+Inputs!$B$68*ABS(SIN($B136)),Inputs!$C$69*COS($B136)+Inputs!$B$69*ABS(SIN($B136)),Inputs!$C$70*COS($B136)+Inputs!$B$70*ABS(SIN($B136)),Inputs!$C$71*COS($B136)+Inputs!$B$71*ABS(SIN($B136)),Inputs!$C$72*COS($B136)+Inputs!$B$72*ABS(SIN($B136)))</f>
        <v>229.9601968</v>
      </c>
      <c r="D136" s="108">
        <f>IF(C136&lt;=Inputs!$B$38,1,0)</f>
        <v>1</v>
      </c>
      <c r="E136" s="29">
        <f>Inputs!$B$11*COS(($B136))-Inputs!$B$7*SIN(($B136))</f>
        <v>167.0195027</v>
      </c>
      <c r="F136" s="29">
        <f>Inputs!$B$11*SIN(($B136))+Inputs!$B$7*COS(($B136))</f>
        <v>-145.9200697</v>
      </c>
      <c r="G136" s="29">
        <f>SQRT((E136-Inputs!$B$5)^2+(F136-Inputs!$B$6)^2)</f>
        <v>259.5427587</v>
      </c>
      <c r="H136" s="29">
        <f>MAX(MAX(Inputs!$B$5,(Inputs!$B$5+(E136-Inputs!$B$5)*MIN(1,$B$16/G136)))+$B$7/2,MAX((Inputs!$B$5+(E136-Inputs!$B$5)*MIN(1,$B$16/G136)),E136)+Inputs!$B$41)</f>
        <v>291.8</v>
      </c>
      <c r="I136" s="29">
        <f>MIN(IF(OR(Inputs!$C$68=0,((((Inputs!$C$68*COS(($B136))+Inputs!$B$68*SIN(($B136)))-Inputs!$B$5)*(E136-Inputs!$B$5)+((Inputs!$C$68*SIN(($B136))-Inputs!$B$68*COS(($B136)))-Inputs!$B$6)*(F136-Inputs!$B$6))/G136)&lt;0,((((Inputs!$C$68*COS(($B136))+Inputs!$B$68*SIN(($B136)))-Inputs!$B$5)*(E136-Inputs!$B$5)+((Inputs!$C$68*SIN(($B136))-Inputs!$B$68*COS(($B136)))-Inputs!$B$6)*(F136-Inputs!$B$6))/G136)&gt;G136-Inputs!$B$40),999,(ABS((E136-Inputs!$B$5)*((Inputs!$C$68*SIN(($B136))-Inputs!$B$68*COS(($B136)))-Inputs!$B$6)-(F136-Inputs!$B$6)*((Inputs!$C$68*COS(($B136))+Inputs!$B$68*SIN(($B136)))-Inputs!$B$5))/G136)-IF(((((Inputs!$C$68*COS(($B136))+Inputs!$B$68*SIN(($B136)))-Inputs!$B$5)*(E136-Inputs!$B$5)+((Inputs!$C$68*SIN(($B136))-Inputs!$B$68*COS(($B136)))-Inputs!$B$6)*(F136-Inputs!$B$6))/G136)&lt;$B$16,$B$7/2,$B$8/2)-Inputs!$B$39),IF(OR(Inputs!$C$69=0,((((Inputs!$C$69*COS(($B136))+Inputs!$B$69*SIN(($B136)))-Inputs!$B$5)*(E136-Inputs!$B$5)+((Inputs!$C$69*SIN(($B136))-Inputs!$B$69*COS(($B136)))-Inputs!$B$6)*(F136-Inputs!$B$6))/G136)&lt;0,((((Inputs!$C$69*COS(($B136))+Inputs!$B$69*SIN(($B136)))-Inputs!$B$5)*(E136-Inputs!$B$5)+((Inputs!$C$69*SIN(($B136))-Inputs!$B$69*COS(($B136)))-Inputs!$B$6)*(F136-Inputs!$B$6))/G136)&gt;G136-Inputs!$B$40),999,(ABS((E136-Inputs!$B$5)*((Inputs!$C$69*SIN(($B136))-Inputs!$B$69*COS(($B136)))-Inputs!$B$6)-(F136-Inputs!$B$6)*((Inputs!$C$69*COS(($B136))+Inputs!$B$69*SIN(($B136)))-Inputs!$B$5))/G136)-IF(((((Inputs!$C$69*COS(($B136))+Inputs!$B$69*SIN(($B136)))-Inputs!$B$5)*(E136-Inputs!$B$5)+((Inputs!$C$69*SIN(($B136))-Inputs!$B$69*COS(($B136)))-Inputs!$B$6)*(F136-Inputs!$B$6))/G136)&lt;$B$16,$B$7/2,$B$8/2)-Inputs!$B$39),IF(OR(Inputs!$C$70=0,((((Inputs!$C$70*COS(($B136))+Inputs!$B$70*SIN(($B136)))-Inputs!$B$5)*(E136-Inputs!$B$5)+((Inputs!$C$70*SIN(($B136))-Inputs!$B$70*COS(($B136)))-Inputs!$B$6)*(F136-Inputs!$B$6))/G136)&lt;0,((((Inputs!$C$70*COS(($B136))+Inputs!$B$70*SIN(($B136)))-Inputs!$B$5)*(E136-Inputs!$B$5)+((Inputs!$C$70*SIN(($B136))-Inputs!$B$70*COS(($B136)))-Inputs!$B$6)*(F136-Inputs!$B$6))/G136)&gt;G136-Inputs!$B$40),999,(ABS((E136-Inputs!$B$5)*((Inputs!$C$70*SIN(($B136))-Inputs!$B$70*COS(($B136)))-Inputs!$B$6)-(F136-Inputs!$B$6)*((Inputs!$C$70*COS(($B136))+Inputs!$B$70*SIN(($B136)))-Inputs!$B$5))/G136)-IF(((((Inputs!$C$70*COS(($B136))+Inputs!$B$70*SIN(($B136)))-Inputs!$B$5)*(E136-Inputs!$B$5)+((Inputs!$C$70*SIN(($B136))-Inputs!$B$70*COS(($B136)))-Inputs!$B$6)*(F136-Inputs!$B$6))/G136)&lt;$B$16,$B$7/2,$B$8/2)-Inputs!$B$39),IF(OR(Inputs!$C$71=0,((((Inputs!$C$71*COS(($B136))+Inputs!$B$71*SIN(($B136)))-Inputs!$B$5)*(E136-Inputs!$B$5)+((Inputs!$C$71*SIN(($B136))-Inputs!$B$71*COS(($B136)))-Inputs!$B$6)*(F136-Inputs!$B$6))/G136)&lt;0,((((Inputs!$C$71*COS(($B136))+Inputs!$B$71*SIN(($B136)))-Inputs!$B$5)*(E136-Inputs!$B$5)+((Inputs!$C$71*SIN(($B136))-Inputs!$B$71*COS(($B136)))-Inputs!$B$6)*(F136-Inputs!$B$6))/G136)&gt;G136-Inputs!$B$40),999,(ABS((E136-Inputs!$B$5)*((Inputs!$C$71*SIN(($B136))-Inputs!$B$71*COS(($B136)))-Inputs!$B$6)-(F136-Inputs!$B$6)*((Inputs!$C$71*COS(($B136))+Inputs!$B$71*SIN(($B136)))-Inputs!$B$5))/G136)-IF(((((Inputs!$C$71*COS(($B136))+Inputs!$B$71*SIN(($B136)))-Inputs!$B$5)*(E136-Inputs!$B$5)+((Inputs!$C$71*SIN(($B136))-Inputs!$B$71*COS(($B136)))-Inputs!$B$6)*(F136-Inputs!$B$6))/G136)&lt;$B$16,$B$7/2,$B$8/2)-Inputs!$B$39),IF(OR(Inputs!$C$72=0,((((Inputs!$C$72*COS(($B136))+Inputs!$B$72*SIN(($B136)))-Inputs!$B$5)*(E136-Inputs!$B$5)+((Inputs!$C$72*SIN(($B136))-Inputs!$B$72*COS(($B136)))-Inputs!$B$6)*(F136-Inputs!$B$6))/G136)&lt;0,((((Inputs!$C$72*COS(($B136))+Inputs!$B$72*SIN(($B136)))-Inputs!$B$5)*(E136-Inputs!$B$5)+((Inputs!$C$72*SIN(($B136))-Inputs!$B$72*COS(($B136)))-Inputs!$B$6)*(F136-Inputs!$B$6))/G136)&gt;G136-Inputs!$B$40),999,(ABS((E136-Inputs!$B$5)*((Inputs!$C$72*SIN(($B136))-Inputs!$B$72*COS(($B136)))-Inputs!$B$6)-(F136-Inputs!$B$6)*((Inputs!$C$72*COS(($B136))+Inputs!$B$72*SIN(($B136)))-Inputs!$B$5))/G136)-IF(((((Inputs!$C$72*COS(($B136))+Inputs!$B$72*SIN(($B136)))-Inputs!$B$5)*(E136-Inputs!$B$5)+((Inputs!$C$72*SIN(($B136))-Inputs!$B$72*COS(($B136)))-Inputs!$B$6)*(F136-Inputs!$B$6))/G136)&lt;$B$16,$B$7/2,$B$8/2)-Inputs!$B$39))</f>
        <v>48.39193779</v>
      </c>
      <c r="J136" s="76">
        <f>IF(AND(G136&gt;=$B$14,G136&lt;=$B$15,H136&lt;=Inputs!$B$38,I136&gt;=0,$D136=1),1,0)</f>
        <v>0</v>
      </c>
      <c r="K136" s="29">
        <f>Inputs!$B$11*COS((-$B136))-Inputs!$B$7*SIN((-$B136))</f>
        <v>9.121960172</v>
      </c>
      <c r="L136" s="29">
        <f>Inputs!$B$11*SIN((-$B136))+Inputs!$B$7*COS((-$B136))</f>
        <v>-221.5964144</v>
      </c>
      <c r="M136" s="29">
        <f>SQRT((K136-Inputs!$B$5)^2+(L136-Inputs!$B$6)^2)</f>
        <v>401.8040366</v>
      </c>
      <c r="N136" s="29">
        <f>MAX(MAX(Inputs!$B$5,(Inputs!$B$5+(K136-Inputs!$B$5)*MIN(1,$B$16/M136)))+$B$7/2,MAX((Inputs!$B$5+(K136-Inputs!$B$5)*MIN(1,$B$16/M136)),K136)+Inputs!$B$41)</f>
        <v>291.8</v>
      </c>
      <c r="O136" s="29">
        <f>MIN(IF(OR(Inputs!$C$68=0,((((Inputs!$C$68*COS((-$B136))+Inputs!$B$68*SIN((-$B136)))-Inputs!$B$5)*(K136-Inputs!$B$5)+((Inputs!$C$68*SIN((-$B136))-Inputs!$B$68*COS((-$B136)))-Inputs!$B$6)*(L136-Inputs!$B$6))/M136)&lt;0,((((Inputs!$C$68*COS((-$B136))+Inputs!$B$68*SIN((-$B136)))-Inputs!$B$5)*(K136-Inputs!$B$5)+((Inputs!$C$68*SIN((-$B136))-Inputs!$B$68*COS((-$B136)))-Inputs!$B$6)*(L136-Inputs!$B$6))/M136)&gt;M136-Inputs!$B$40),999,(ABS((K136-Inputs!$B$5)*((Inputs!$C$68*SIN((-$B136))-Inputs!$B$68*COS((-$B136)))-Inputs!$B$6)-(L136-Inputs!$B$6)*((Inputs!$C$68*COS((-$B136))+Inputs!$B$68*SIN((-$B136)))-Inputs!$B$5))/M136)-IF(((((Inputs!$C$68*COS((-$B136))+Inputs!$B$68*SIN((-$B136)))-Inputs!$B$5)*(K136-Inputs!$B$5)+((Inputs!$C$68*SIN((-$B136))-Inputs!$B$68*COS((-$B136)))-Inputs!$B$6)*(L136-Inputs!$B$6))/M136)&lt;$B$16,$B$7/2,$B$8/2)-Inputs!$B$39),IF(OR(Inputs!$C$69=0,((((Inputs!$C$69*COS((-$B136))+Inputs!$B$69*SIN((-$B136)))-Inputs!$B$5)*(K136-Inputs!$B$5)+((Inputs!$C$69*SIN((-$B136))-Inputs!$B$69*COS((-$B136)))-Inputs!$B$6)*(L136-Inputs!$B$6))/M136)&lt;0,((((Inputs!$C$69*COS((-$B136))+Inputs!$B$69*SIN((-$B136)))-Inputs!$B$5)*(K136-Inputs!$B$5)+((Inputs!$C$69*SIN((-$B136))-Inputs!$B$69*COS((-$B136)))-Inputs!$B$6)*(L136-Inputs!$B$6))/M136)&gt;M136-Inputs!$B$40),999,(ABS((K136-Inputs!$B$5)*((Inputs!$C$69*SIN((-$B136))-Inputs!$B$69*COS((-$B136)))-Inputs!$B$6)-(L136-Inputs!$B$6)*((Inputs!$C$69*COS((-$B136))+Inputs!$B$69*SIN((-$B136)))-Inputs!$B$5))/M136)-IF(((((Inputs!$C$69*COS((-$B136))+Inputs!$B$69*SIN((-$B136)))-Inputs!$B$5)*(K136-Inputs!$B$5)+((Inputs!$C$69*SIN((-$B136))-Inputs!$B$69*COS((-$B136)))-Inputs!$B$6)*(L136-Inputs!$B$6))/M136)&lt;$B$16,$B$7/2,$B$8/2)-Inputs!$B$39),IF(OR(Inputs!$C$70=0,((((Inputs!$C$70*COS((-$B136))+Inputs!$B$70*SIN((-$B136)))-Inputs!$B$5)*(K136-Inputs!$B$5)+((Inputs!$C$70*SIN((-$B136))-Inputs!$B$70*COS((-$B136)))-Inputs!$B$6)*(L136-Inputs!$B$6))/M136)&lt;0,((((Inputs!$C$70*COS((-$B136))+Inputs!$B$70*SIN((-$B136)))-Inputs!$B$5)*(K136-Inputs!$B$5)+((Inputs!$C$70*SIN((-$B136))-Inputs!$B$70*COS((-$B136)))-Inputs!$B$6)*(L136-Inputs!$B$6))/M136)&gt;M136-Inputs!$B$40),999,(ABS((K136-Inputs!$B$5)*((Inputs!$C$70*SIN((-$B136))-Inputs!$B$70*COS((-$B136)))-Inputs!$B$6)-(L136-Inputs!$B$6)*((Inputs!$C$70*COS((-$B136))+Inputs!$B$70*SIN((-$B136)))-Inputs!$B$5))/M136)-IF(((((Inputs!$C$70*COS((-$B136))+Inputs!$B$70*SIN((-$B136)))-Inputs!$B$5)*(K136-Inputs!$B$5)+((Inputs!$C$70*SIN((-$B136))-Inputs!$B$70*COS((-$B136)))-Inputs!$B$6)*(L136-Inputs!$B$6))/M136)&lt;$B$16,$B$7/2,$B$8/2)-Inputs!$B$39),IF(OR(Inputs!$C$71=0,((((Inputs!$C$71*COS((-$B136))+Inputs!$B$71*SIN((-$B136)))-Inputs!$B$5)*(K136-Inputs!$B$5)+((Inputs!$C$71*SIN((-$B136))-Inputs!$B$71*COS((-$B136)))-Inputs!$B$6)*(L136-Inputs!$B$6))/M136)&lt;0,((((Inputs!$C$71*COS((-$B136))+Inputs!$B$71*SIN((-$B136)))-Inputs!$B$5)*(K136-Inputs!$B$5)+((Inputs!$C$71*SIN((-$B136))-Inputs!$B$71*COS((-$B136)))-Inputs!$B$6)*(L136-Inputs!$B$6))/M136)&gt;M136-Inputs!$B$40),999,(ABS((K136-Inputs!$B$5)*((Inputs!$C$71*SIN((-$B136))-Inputs!$B$71*COS((-$B136)))-Inputs!$B$6)-(L136-Inputs!$B$6)*((Inputs!$C$71*COS((-$B136))+Inputs!$B$71*SIN((-$B136)))-Inputs!$B$5))/M136)-IF(((((Inputs!$C$71*COS((-$B136))+Inputs!$B$71*SIN((-$B136)))-Inputs!$B$5)*(K136-Inputs!$B$5)+((Inputs!$C$71*SIN((-$B136))-Inputs!$B$71*COS((-$B136)))-Inputs!$B$6)*(L136-Inputs!$B$6))/M136)&lt;$B$16,$B$7/2,$B$8/2)-Inputs!$B$39),IF(OR(Inputs!$C$72=0,((((Inputs!$C$72*COS((-$B136))+Inputs!$B$72*SIN((-$B136)))-Inputs!$B$5)*(K136-Inputs!$B$5)+((Inputs!$C$72*SIN((-$B136))-Inputs!$B$72*COS((-$B136)))-Inputs!$B$6)*(L136-Inputs!$B$6))/M136)&lt;0,((((Inputs!$C$72*COS((-$B136))+Inputs!$B$72*SIN((-$B136)))-Inputs!$B$5)*(K136-Inputs!$B$5)+((Inputs!$C$72*SIN((-$B136))-Inputs!$B$72*COS((-$B136)))-Inputs!$B$6)*(L136-Inputs!$B$6))/M136)&gt;M136-Inputs!$B$40),999,(ABS((K136-Inputs!$B$5)*((Inputs!$C$72*SIN((-$B136))-Inputs!$B$72*COS((-$B136)))-Inputs!$B$6)-(L136-Inputs!$B$6)*((Inputs!$C$72*COS((-$B136))+Inputs!$B$72*SIN((-$B136)))-Inputs!$B$5))/M136)-IF(((((Inputs!$C$72*COS((-$B136))+Inputs!$B$72*SIN((-$B136)))-Inputs!$B$5)*(K136-Inputs!$B$5)+((Inputs!$C$72*SIN((-$B136))-Inputs!$B$72*COS((-$B136)))-Inputs!$B$6)*(L136-Inputs!$B$6))/M136)&lt;$B$16,$B$7/2,$B$8/2)-Inputs!$B$39))</f>
        <v>21.57611129</v>
      </c>
      <c r="P136" s="76">
        <f>IF(AND(M136&gt;=$B$14,M136&lt;=$B$15,N136&lt;=Inputs!$B$38,O136&gt;=0,$D136=1),1,0)</f>
        <v>0</v>
      </c>
    </row>
    <row r="137" ht="15.75" customHeight="1">
      <c r="A137" s="23">
        <v>23.5</v>
      </c>
      <c r="B137" s="40">
        <f t="shared" si="4"/>
        <v>0.4101523742</v>
      </c>
      <c r="C137" s="29">
        <f>MAX(Inputs!$C$68*COS($B137)+Inputs!$B$68*ABS(SIN($B137)),Inputs!$C$69*COS($B137)+Inputs!$B$69*ABS(SIN($B137)),Inputs!$C$70*COS($B137)+Inputs!$B$70*ABS(SIN($B137)),Inputs!$C$71*COS($B137)+Inputs!$B$71*ABS(SIN($B137)),Inputs!$C$72*COS($B137)+Inputs!$B$72*ABS(SIN($B137)))</f>
        <v>231.4202272</v>
      </c>
      <c r="D137" s="108">
        <f>IF(C137&lt;=Inputs!$B$38,1,0)</f>
        <v>1</v>
      </c>
      <c r="E137" s="29">
        <f>Inputs!$B$11*COS(($B137))-Inputs!$B$7*SIN(($B137))</f>
        <v>167.6546072</v>
      </c>
      <c r="F137" s="29">
        <f>Inputs!$B$11*SIN(($B137))+Inputs!$B$7*COS(($B137))</f>
        <v>-145.1899229</v>
      </c>
      <c r="G137" s="29">
        <f>SQRT((E137-Inputs!$B$5)^2+(F137-Inputs!$B$6)^2)</f>
        <v>258.6481432</v>
      </c>
      <c r="H137" s="29">
        <f>MAX(MAX(Inputs!$B$5,(Inputs!$B$5+(E137-Inputs!$B$5)*MIN(1,$B$16/G137)))+$B$7/2,MAX((Inputs!$B$5+(E137-Inputs!$B$5)*MIN(1,$B$16/G137)),E137)+Inputs!$B$41)</f>
        <v>291.8</v>
      </c>
      <c r="I137" s="29">
        <f>MIN(IF(OR(Inputs!$C$68=0,((((Inputs!$C$68*COS(($B137))+Inputs!$B$68*SIN(($B137)))-Inputs!$B$5)*(E137-Inputs!$B$5)+((Inputs!$C$68*SIN(($B137))-Inputs!$B$68*COS(($B137)))-Inputs!$B$6)*(F137-Inputs!$B$6))/G137)&lt;0,((((Inputs!$C$68*COS(($B137))+Inputs!$B$68*SIN(($B137)))-Inputs!$B$5)*(E137-Inputs!$B$5)+((Inputs!$C$68*SIN(($B137))-Inputs!$B$68*COS(($B137)))-Inputs!$B$6)*(F137-Inputs!$B$6))/G137)&gt;G137-Inputs!$B$40),999,(ABS((E137-Inputs!$B$5)*((Inputs!$C$68*SIN(($B137))-Inputs!$B$68*COS(($B137)))-Inputs!$B$6)-(F137-Inputs!$B$6)*((Inputs!$C$68*COS(($B137))+Inputs!$B$68*SIN(($B137)))-Inputs!$B$5))/G137)-IF(((((Inputs!$C$68*COS(($B137))+Inputs!$B$68*SIN(($B137)))-Inputs!$B$5)*(E137-Inputs!$B$5)+((Inputs!$C$68*SIN(($B137))-Inputs!$B$68*COS(($B137)))-Inputs!$B$6)*(F137-Inputs!$B$6))/G137)&lt;$B$16,$B$7/2,$B$8/2)-Inputs!$B$39),IF(OR(Inputs!$C$69=0,((((Inputs!$C$69*COS(($B137))+Inputs!$B$69*SIN(($B137)))-Inputs!$B$5)*(E137-Inputs!$B$5)+((Inputs!$C$69*SIN(($B137))-Inputs!$B$69*COS(($B137)))-Inputs!$B$6)*(F137-Inputs!$B$6))/G137)&lt;0,((((Inputs!$C$69*COS(($B137))+Inputs!$B$69*SIN(($B137)))-Inputs!$B$5)*(E137-Inputs!$B$5)+((Inputs!$C$69*SIN(($B137))-Inputs!$B$69*COS(($B137)))-Inputs!$B$6)*(F137-Inputs!$B$6))/G137)&gt;G137-Inputs!$B$40),999,(ABS((E137-Inputs!$B$5)*((Inputs!$C$69*SIN(($B137))-Inputs!$B$69*COS(($B137)))-Inputs!$B$6)-(F137-Inputs!$B$6)*((Inputs!$C$69*COS(($B137))+Inputs!$B$69*SIN(($B137)))-Inputs!$B$5))/G137)-IF(((((Inputs!$C$69*COS(($B137))+Inputs!$B$69*SIN(($B137)))-Inputs!$B$5)*(E137-Inputs!$B$5)+((Inputs!$C$69*SIN(($B137))-Inputs!$B$69*COS(($B137)))-Inputs!$B$6)*(F137-Inputs!$B$6))/G137)&lt;$B$16,$B$7/2,$B$8/2)-Inputs!$B$39),IF(OR(Inputs!$C$70=0,((((Inputs!$C$70*COS(($B137))+Inputs!$B$70*SIN(($B137)))-Inputs!$B$5)*(E137-Inputs!$B$5)+((Inputs!$C$70*SIN(($B137))-Inputs!$B$70*COS(($B137)))-Inputs!$B$6)*(F137-Inputs!$B$6))/G137)&lt;0,((((Inputs!$C$70*COS(($B137))+Inputs!$B$70*SIN(($B137)))-Inputs!$B$5)*(E137-Inputs!$B$5)+((Inputs!$C$70*SIN(($B137))-Inputs!$B$70*COS(($B137)))-Inputs!$B$6)*(F137-Inputs!$B$6))/G137)&gt;G137-Inputs!$B$40),999,(ABS((E137-Inputs!$B$5)*((Inputs!$C$70*SIN(($B137))-Inputs!$B$70*COS(($B137)))-Inputs!$B$6)-(F137-Inputs!$B$6)*((Inputs!$C$70*COS(($B137))+Inputs!$B$70*SIN(($B137)))-Inputs!$B$5))/G137)-IF(((((Inputs!$C$70*COS(($B137))+Inputs!$B$70*SIN(($B137)))-Inputs!$B$5)*(E137-Inputs!$B$5)+((Inputs!$C$70*SIN(($B137))-Inputs!$B$70*COS(($B137)))-Inputs!$B$6)*(F137-Inputs!$B$6))/G137)&lt;$B$16,$B$7/2,$B$8/2)-Inputs!$B$39),IF(OR(Inputs!$C$71=0,((((Inputs!$C$71*COS(($B137))+Inputs!$B$71*SIN(($B137)))-Inputs!$B$5)*(E137-Inputs!$B$5)+((Inputs!$C$71*SIN(($B137))-Inputs!$B$71*COS(($B137)))-Inputs!$B$6)*(F137-Inputs!$B$6))/G137)&lt;0,((((Inputs!$C$71*COS(($B137))+Inputs!$B$71*SIN(($B137)))-Inputs!$B$5)*(E137-Inputs!$B$5)+((Inputs!$C$71*SIN(($B137))-Inputs!$B$71*COS(($B137)))-Inputs!$B$6)*(F137-Inputs!$B$6))/G137)&gt;G137-Inputs!$B$40),999,(ABS((E137-Inputs!$B$5)*((Inputs!$C$71*SIN(($B137))-Inputs!$B$71*COS(($B137)))-Inputs!$B$6)-(F137-Inputs!$B$6)*((Inputs!$C$71*COS(($B137))+Inputs!$B$71*SIN(($B137)))-Inputs!$B$5))/G137)-IF(((((Inputs!$C$71*COS(($B137))+Inputs!$B$71*SIN(($B137)))-Inputs!$B$5)*(E137-Inputs!$B$5)+((Inputs!$C$71*SIN(($B137))-Inputs!$B$71*COS(($B137)))-Inputs!$B$6)*(F137-Inputs!$B$6))/G137)&lt;$B$16,$B$7/2,$B$8/2)-Inputs!$B$39),IF(OR(Inputs!$C$72=0,((((Inputs!$C$72*COS(($B137))+Inputs!$B$72*SIN(($B137)))-Inputs!$B$5)*(E137-Inputs!$B$5)+((Inputs!$C$72*SIN(($B137))-Inputs!$B$72*COS(($B137)))-Inputs!$B$6)*(F137-Inputs!$B$6))/G137)&lt;0,((((Inputs!$C$72*COS(($B137))+Inputs!$B$72*SIN(($B137)))-Inputs!$B$5)*(E137-Inputs!$B$5)+((Inputs!$C$72*SIN(($B137))-Inputs!$B$72*COS(($B137)))-Inputs!$B$6)*(F137-Inputs!$B$6))/G137)&gt;G137-Inputs!$B$40),999,(ABS((E137-Inputs!$B$5)*((Inputs!$C$72*SIN(($B137))-Inputs!$B$72*COS(($B137)))-Inputs!$B$6)-(F137-Inputs!$B$6)*((Inputs!$C$72*COS(($B137))+Inputs!$B$72*SIN(($B137)))-Inputs!$B$5))/G137)-IF(((((Inputs!$C$72*COS(($B137))+Inputs!$B$72*SIN(($B137)))-Inputs!$B$5)*(E137-Inputs!$B$5)+((Inputs!$C$72*SIN(($B137))-Inputs!$B$72*COS(($B137)))-Inputs!$B$6)*(F137-Inputs!$B$6))/G137)&lt;$B$16,$B$7/2,$B$8/2)-Inputs!$B$39))</f>
        <v>48.56041551</v>
      </c>
      <c r="J137" s="76">
        <f>IF(AND(G137&gt;=$B$14,G137&lt;=$B$15,H137&lt;=Inputs!$B$38,I137&gt;=0,$D137=1),1,0)</f>
        <v>0</v>
      </c>
      <c r="K137" s="29">
        <f>Inputs!$B$11*COS((-$B137))-Inputs!$B$7*SIN((-$B137))</f>
        <v>8.154979645</v>
      </c>
      <c r="L137" s="29">
        <f>Inputs!$B$11*SIN((-$B137))+Inputs!$B$7*COS((-$B137))</f>
        <v>-221.6341069</v>
      </c>
      <c r="M137" s="29">
        <f>SQRT((K137-Inputs!$B$5)^2+(L137-Inputs!$B$6)^2)</f>
        <v>402.4146028</v>
      </c>
      <c r="N137" s="29">
        <f>MAX(MAX(Inputs!$B$5,(Inputs!$B$5+(K137-Inputs!$B$5)*MIN(1,$B$16/M137)))+$B$7/2,MAX((Inputs!$B$5+(K137-Inputs!$B$5)*MIN(1,$B$16/M137)),K137)+Inputs!$B$41)</f>
        <v>291.8</v>
      </c>
      <c r="O137" s="29">
        <f>MIN(IF(OR(Inputs!$C$68=0,((((Inputs!$C$68*COS((-$B137))+Inputs!$B$68*SIN((-$B137)))-Inputs!$B$5)*(K137-Inputs!$B$5)+((Inputs!$C$68*SIN((-$B137))-Inputs!$B$68*COS((-$B137)))-Inputs!$B$6)*(L137-Inputs!$B$6))/M137)&lt;0,((((Inputs!$C$68*COS((-$B137))+Inputs!$B$68*SIN((-$B137)))-Inputs!$B$5)*(K137-Inputs!$B$5)+((Inputs!$C$68*SIN((-$B137))-Inputs!$B$68*COS((-$B137)))-Inputs!$B$6)*(L137-Inputs!$B$6))/M137)&gt;M137-Inputs!$B$40),999,(ABS((K137-Inputs!$B$5)*((Inputs!$C$68*SIN((-$B137))-Inputs!$B$68*COS((-$B137)))-Inputs!$B$6)-(L137-Inputs!$B$6)*((Inputs!$C$68*COS((-$B137))+Inputs!$B$68*SIN((-$B137)))-Inputs!$B$5))/M137)-IF(((((Inputs!$C$68*COS((-$B137))+Inputs!$B$68*SIN((-$B137)))-Inputs!$B$5)*(K137-Inputs!$B$5)+((Inputs!$C$68*SIN((-$B137))-Inputs!$B$68*COS((-$B137)))-Inputs!$B$6)*(L137-Inputs!$B$6))/M137)&lt;$B$16,$B$7/2,$B$8/2)-Inputs!$B$39),IF(OR(Inputs!$C$69=0,((((Inputs!$C$69*COS((-$B137))+Inputs!$B$69*SIN((-$B137)))-Inputs!$B$5)*(K137-Inputs!$B$5)+((Inputs!$C$69*SIN((-$B137))-Inputs!$B$69*COS((-$B137)))-Inputs!$B$6)*(L137-Inputs!$B$6))/M137)&lt;0,((((Inputs!$C$69*COS((-$B137))+Inputs!$B$69*SIN((-$B137)))-Inputs!$B$5)*(K137-Inputs!$B$5)+((Inputs!$C$69*SIN((-$B137))-Inputs!$B$69*COS((-$B137)))-Inputs!$B$6)*(L137-Inputs!$B$6))/M137)&gt;M137-Inputs!$B$40),999,(ABS((K137-Inputs!$B$5)*((Inputs!$C$69*SIN((-$B137))-Inputs!$B$69*COS((-$B137)))-Inputs!$B$6)-(L137-Inputs!$B$6)*((Inputs!$C$69*COS((-$B137))+Inputs!$B$69*SIN((-$B137)))-Inputs!$B$5))/M137)-IF(((((Inputs!$C$69*COS((-$B137))+Inputs!$B$69*SIN((-$B137)))-Inputs!$B$5)*(K137-Inputs!$B$5)+((Inputs!$C$69*SIN((-$B137))-Inputs!$B$69*COS((-$B137)))-Inputs!$B$6)*(L137-Inputs!$B$6))/M137)&lt;$B$16,$B$7/2,$B$8/2)-Inputs!$B$39),IF(OR(Inputs!$C$70=0,((((Inputs!$C$70*COS((-$B137))+Inputs!$B$70*SIN((-$B137)))-Inputs!$B$5)*(K137-Inputs!$B$5)+((Inputs!$C$70*SIN((-$B137))-Inputs!$B$70*COS((-$B137)))-Inputs!$B$6)*(L137-Inputs!$B$6))/M137)&lt;0,((((Inputs!$C$70*COS((-$B137))+Inputs!$B$70*SIN((-$B137)))-Inputs!$B$5)*(K137-Inputs!$B$5)+((Inputs!$C$70*SIN((-$B137))-Inputs!$B$70*COS((-$B137)))-Inputs!$B$6)*(L137-Inputs!$B$6))/M137)&gt;M137-Inputs!$B$40),999,(ABS((K137-Inputs!$B$5)*((Inputs!$C$70*SIN((-$B137))-Inputs!$B$70*COS((-$B137)))-Inputs!$B$6)-(L137-Inputs!$B$6)*((Inputs!$C$70*COS((-$B137))+Inputs!$B$70*SIN((-$B137)))-Inputs!$B$5))/M137)-IF(((((Inputs!$C$70*COS((-$B137))+Inputs!$B$70*SIN((-$B137)))-Inputs!$B$5)*(K137-Inputs!$B$5)+((Inputs!$C$70*SIN((-$B137))-Inputs!$B$70*COS((-$B137)))-Inputs!$B$6)*(L137-Inputs!$B$6))/M137)&lt;$B$16,$B$7/2,$B$8/2)-Inputs!$B$39),IF(OR(Inputs!$C$71=0,((((Inputs!$C$71*COS((-$B137))+Inputs!$B$71*SIN((-$B137)))-Inputs!$B$5)*(K137-Inputs!$B$5)+((Inputs!$C$71*SIN((-$B137))-Inputs!$B$71*COS((-$B137)))-Inputs!$B$6)*(L137-Inputs!$B$6))/M137)&lt;0,((((Inputs!$C$71*COS((-$B137))+Inputs!$B$71*SIN((-$B137)))-Inputs!$B$5)*(K137-Inputs!$B$5)+((Inputs!$C$71*SIN((-$B137))-Inputs!$B$71*COS((-$B137)))-Inputs!$B$6)*(L137-Inputs!$B$6))/M137)&gt;M137-Inputs!$B$40),999,(ABS((K137-Inputs!$B$5)*((Inputs!$C$71*SIN((-$B137))-Inputs!$B$71*COS((-$B137)))-Inputs!$B$6)-(L137-Inputs!$B$6)*((Inputs!$C$71*COS((-$B137))+Inputs!$B$71*SIN((-$B137)))-Inputs!$B$5))/M137)-IF(((((Inputs!$C$71*COS((-$B137))+Inputs!$B$71*SIN((-$B137)))-Inputs!$B$5)*(K137-Inputs!$B$5)+((Inputs!$C$71*SIN((-$B137))-Inputs!$B$71*COS((-$B137)))-Inputs!$B$6)*(L137-Inputs!$B$6))/M137)&lt;$B$16,$B$7/2,$B$8/2)-Inputs!$B$39),IF(OR(Inputs!$C$72=0,((((Inputs!$C$72*COS((-$B137))+Inputs!$B$72*SIN((-$B137)))-Inputs!$B$5)*(K137-Inputs!$B$5)+((Inputs!$C$72*SIN((-$B137))-Inputs!$B$72*COS((-$B137)))-Inputs!$B$6)*(L137-Inputs!$B$6))/M137)&lt;0,((((Inputs!$C$72*COS((-$B137))+Inputs!$B$72*SIN((-$B137)))-Inputs!$B$5)*(K137-Inputs!$B$5)+((Inputs!$C$72*SIN((-$B137))-Inputs!$B$72*COS((-$B137)))-Inputs!$B$6)*(L137-Inputs!$B$6))/M137)&gt;M137-Inputs!$B$40),999,(ABS((K137-Inputs!$B$5)*((Inputs!$C$72*SIN((-$B137))-Inputs!$B$72*COS((-$B137)))-Inputs!$B$6)-(L137-Inputs!$B$6)*((Inputs!$C$72*COS((-$B137))+Inputs!$B$72*SIN((-$B137)))-Inputs!$B$5))/M137)-IF(((((Inputs!$C$72*COS((-$B137))+Inputs!$B$72*SIN((-$B137)))-Inputs!$B$5)*(K137-Inputs!$B$5)+((Inputs!$C$72*SIN((-$B137))-Inputs!$B$72*COS((-$B137)))-Inputs!$B$6)*(L137-Inputs!$B$6))/M137)&lt;$B$16,$B$7/2,$B$8/2)-Inputs!$B$39))</f>
        <v>21.2403725</v>
      </c>
      <c r="P137" s="76">
        <f>IF(AND(M137&gt;=$B$14,M137&lt;=$B$15,N137&lt;=Inputs!$B$38,O137&gt;=0,$D137=1),1,0)</f>
        <v>0</v>
      </c>
    </row>
    <row r="138" ht="15.75" customHeight="1">
      <c r="A138" s="23">
        <v>23.75</v>
      </c>
      <c r="B138" s="40">
        <f t="shared" si="4"/>
        <v>0.4145156973</v>
      </c>
      <c r="C138" s="29">
        <f>MAX(Inputs!$C$68*COS($B138)+Inputs!$B$68*ABS(SIN($B138)),Inputs!$C$69*COS($B138)+Inputs!$B$69*ABS(SIN($B138)),Inputs!$C$70*COS($B138)+Inputs!$B$70*ABS(SIN($B138)),Inputs!$C$71*COS($B138)+Inputs!$B$71*ABS(SIN($B138)),Inputs!$C$72*COS($B138)+Inputs!$B$72*ABS(SIN($B138)))</f>
        <v>232.8758517</v>
      </c>
      <c r="D138" s="108">
        <f>IF(C138&lt;=Inputs!$B$38,1,0)</f>
        <v>1</v>
      </c>
      <c r="E138" s="29">
        <f>Inputs!$B$11*COS(($B138))-Inputs!$B$7*SIN(($B138))</f>
        <v>168.2865198</v>
      </c>
      <c r="F138" s="29">
        <f>Inputs!$B$11*SIN(($B138))+Inputs!$B$7*COS(($B138))</f>
        <v>-144.4570119</v>
      </c>
      <c r="G138" s="29">
        <f>SQRT((E138-Inputs!$B$5)^2+(F138-Inputs!$B$6)^2)</f>
        <v>257.7524462</v>
      </c>
      <c r="H138" s="29">
        <f>MAX(MAX(Inputs!$B$5,(Inputs!$B$5+(E138-Inputs!$B$5)*MIN(1,$B$16/G138)))+$B$7/2,MAX((Inputs!$B$5+(E138-Inputs!$B$5)*MIN(1,$B$16/G138)),E138)+Inputs!$B$41)</f>
        <v>291.8</v>
      </c>
      <c r="I138" s="29">
        <f>MIN(IF(OR(Inputs!$C$68=0,((((Inputs!$C$68*COS(($B138))+Inputs!$B$68*SIN(($B138)))-Inputs!$B$5)*(E138-Inputs!$B$5)+((Inputs!$C$68*SIN(($B138))-Inputs!$B$68*COS(($B138)))-Inputs!$B$6)*(F138-Inputs!$B$6))/G138)&lt;0,((((Inputs!$C$68*COS(($B138))+Inputs!$B$68*SIN(($B138)))-Inputs!$B$5)*(E138-Inputs!$B$5)+((Inputs!$C$68*SIN(($B138))-Inputs!$B$68*COS(($B138)))-Inputs!$B$6)*(F138-Inputs!$B$6))/G138)&gt;G138-Inputs!$B$40),999,(ABS((E138-Inputs!$B$5)*((Inputs!$C$68*SIN(($B138))-Inputs!$B$68*COS(($B138)))-Inputs!$B$6)-(F138-Inputs!$B$6)*((Inputs!$C$68*COS(($B138))+Inputs!$B$68*SIN(($B138)))-Inputs!$B$5))/G138)-IF(((((Inputs!$C$68*COS(($B138))+Inputs!$B$68*SIN(($B138)))-Inputs!$B$5)*(E138-Inputs!$B$5)+((Inputs!$C$68*SIN(($B138))-Inputs!$B$68*COS(($B138)))-Inputs!$B$6)*(F138-Inputs!$B$6))/G138)&lt;$B$16,$B$7/2,$B$8/2)-Inputs!$B$39),IF(OR(Inputs!$C$69=0,((((Inputs!$C$69*COS(($B138))+Inputs!$B$69*SIN(($B138)))-Inputs!$B$5)*(E138-Inputs!$B$5)+((Inputs!$C$69*SIN(($B138))-Inputs!$B$69*COS(($B138)))-Inputs!$B$6)*(F138-Inputs!$B$6))/G138)&lt;0,((((Inputs!$C$69*COS(($B138))+Inputs!$B$69*SIN(($B138)))-Inputs!$B$5)*(E138-Inputs!$B$5)+((Inputs!$C$69*SIN(($B138))-Inputs!$B$69*COS(($B138)))-Inputs!$B$6)*(F138-Inputs!$B$6))/G138)&gt;G138-Inputs!$B$40),999,(ABS((E138-Inputs!$B$5)*((Inputs!$C$69*SIN(($B138))-Inputs!$B$69*COS(($B138)))-Inputs!$B$6)-(F138-Inputs!$B$6)*((Inputs!$C$69*COS(($B138))+Inputs!$B$69*SIN(($B138)))-Inputs!$B$5))/G138)-IF(((((Inputs!$C$69*COS(($B138))+Inputs!$B$69*SIN(($B138)))-Inputs!$B$5)*(E138-Inputs!$B$5)+((Inputs!$C$69*SIN(($B138))-Inputs!$B$69*COS(($B138)))-Inputs!$B$6)*(F138-Inputs!$B$6))/G138)&lt;$B$16,$B$7/2,$B$8/2)-Inputs!$B$39),IF(OR(Inputs!$C$70=0,((((Inputs!$C$70*COS(($B138))+Inputs!$B$70*SIN(($B138)))-Inputs!$B$5)*(E138-Inputs!$B$5)+((Inputs!$C$70*SIN(($B138))-Inputs!$B$70*COS(($B138)))-Inputs!$B$6)*(F138-Inputs!$B$6))/G138)&lt;0,((((Inputs!$C$70*COS(($B138))+Inputs!$B$70*SIN(($B138)))-Inputs!$B$5)*(E138-Inputs!$B$5)+((Inputs!$C$70*SIN(($B138))-Inputs!$B$70*COS(($B138)))-Inputs!$B$6)*(F138-Inputs!$B$6))/G138)&gt;G138-Inputs!$B$40),999,(ABS((E138-Inputs!$B$5)*((Inputs!$C$70*SIN(($B138))-Inputs!$B$70*COS(($B138)))-Inputs!$B$6)-(F138-Inputs!$B$6)*((Inputs!$C$70*COS(($B138))+Inputs!$B$70*SIN(($B138)))-Inputs!$B$5))/G138)-IF(((((Inputs!$C$70*COS(($B138))+Inputs!$B$70*SIN(($B138)))-Inputs!$B$5)*(E138-Inputs!$B$5)+((Inputs!$C$70*SIN(($B138))-Inputs!$B$70*COS(($B138)))-Inputs!$B$6)*(F138-Inputs!$B$6))/G138)&lt;$B$16,$B$7/2,$B$8/2)-Inputs!$B$39),IF(OR(Inputs!$C$71=0,((((Inputs!$C$71*COS(($B138))+Inputs!$B$71*SIN(($B138)))-Inputs!$B$5)*(E138-Inputs!$B$5)+((Inputs!$C$71*SIN(($B138))-Inputs!$B$71*COS(($B138)))-Inputs!$B$6)*(F138-Inputs!$B$6))/G138)&lt;0,((((Inputs!$C$71*COS(($B138))+Inputs!$B$71*SIN(($B138)))-Inputs!$B$5)*(E138-Inputs!$B$5)+((Inputs!$C$71*SIN(($B138))-Inputs!$B$71*COS(($B138)))-Inputs!$B$6)*(F138-Inputs!$B$6))/G138)&gt;G138-Inputs!$B$40),999,(ABS((E138-Inputs!$B$5)*((Inputs!$C$71*SIN(($B138))-Inputs!$B$71*COS(($B138)))-Inputs!$B$6)-(F138-Inputs!$B$6)*((Inputs!$C$71*COS(($B138))+Inputs!$B$71*SIN(($B138)))-Inputs!$B$5))/G138)-IF(((((Inputs!$C$71*COS(($B138))+Inputs!$B$71*SIN(($B138)))-Inputs!$B$5)*(E138-Inputs!$B$5)+((Inputs!$C$71*SIN(($B138))-Inputs!$B$71*COS(($B138)))-Inputs!$B$6)*(F138-Inputs!$B$6))/G138)&lt;$B$16,$B$7/2,$B$8/2)-Inputs!$B$39),IF(OR(Inputs!$C$72=0,((((Inputs!$C$72*COS(($B138))+Inputs!$B$72*SIN(($B138)))-Inputs!$B$5)*(E138-Inputs!$B$5)+((Inputs!$C$72*SIN(($B138))-Inputs!$B$72*COS(($B138)))-Inputs!$B$6)*(F138-Inputs!$B$6))/G138)&lt;0,((((Inputs!$C$72*COS(($B138))+Inputs!$B$72*SIN(($B138)))-Inputs!$B$5)*(E138-Inputs!$B$5)+((Inputs!$C$72*SIN(($B138))-Inputs!$B$72*COS(($B138)))-Inputs!$B$6)*(F138-Inputs!$B$6))/G138)&gt;G138-Inputs!$B$40),999,(ABS((E138-Inputs!$B$5)*((Inputs!$C$72*SIN(($B138))-Inputs!$B$72*COS(($B138)))-Inputs!$B$6)-(F138-Inputs!$B$6)*((Inputs!$C$72*COS(($B138))+Inputs!$B$72*SIN(($B138)))-Inputs!$B$5))/G138)-IF(((((Inputs!$C$72*COS(($B138))+Inputs!$B$72*SIN(($B138)))-Inputs!$B$5)*(E138-Inputs!$B$5)+((Inputs!$C$72*SIN(($B138))-Inputs!$B$72*COS(($B138)))-Inputs!$B$6)*(F138-Inputs!$B$6))/G138)&lt;$B$16,$B$7/2,$B$8/2)-Inputs!$B$39))</f>
        <v>48.72838613</v>
      </c>
      <c r="J138" s="76">
        <f>IF(AND(G138&gt;=$B$14,G138&lt;=$B$15,H138&lt;=Inputs!$B$38,I138&gt;=0,$D138=1),1,0)</f>
        <v>0</v>
      </c>
      <c r="K138" s="29">
        <f>Inputs!$B$11*COS((-$B138))-Inputs!$B$7*SIN((-$B138))</f>
        <v>7.187843859</v>
      </c>
      <c r="L138" s="29">
        <f>Inputs!$B$11*SIN((-$B138))+Inputs!$B$7*COS((-$B138))</f>
        <v>-221.6675798</v>
      </c>
      <c r="M138" s="29">
        <f>SQRT((K138-Inputs!$B$5)^2+(L138-Inputs!$B$6)^2)</f>
        <v>403.0232934</v>
      </c>
      <c r="N138" s="29">
        <f>MAX(MAX(Inputs!$B$5,(Inputs!$B$5+(K138-Inputs!$B$5)*MIN(1,$B$16/M138)))+$B$7/2,MAX((Inputs!$B$5+(K138-Inputs!$B$5)*MIN(1,$B$16/M138)),K138)+Inputs!$B$41)</f>
        <v>291.8</v>
      </c>
      <c r="O138" s="29">
        <f>MIN(IF(OR(Inputs!$C$68=0,((((Inputs!$C$68*COS((-$B138))+Inputs!$B$68*SIN((-$B138)))-Inputs!$B$5)*(K138-Inputs!$B$5)+((Inputs!$C$68*SIN((-$B138))-Inputs!$B$68*COS((-$B138)))-Inputs!$B$6)*(L138-Inputs!$B$6))/M138)&lt;0,((((Inputs!$C$68*COS((-$B138))+Inputs!$B$68*SIN((-$B138)))-Inputs!$B$5)*(K138-Inputs!$B$5)+((Inputs!$C$68*SIN((-$B138))-Inputs!$B$68*COS((-$B138)))-Inputs!$B$6)*(L138-Inputs!$B$6))/M138)&gt;M138-Inputs!$B$40),999,(ABS((K138-Inputs!$B$5)*((Inputs!$C$68*SIN((-$B138))-Inputs!$B$68*COS((-$B138)))-Inputs!$B$6)-(L138-Inputs!$B$6)*((Inputs!$C$68*COS((-$B138))+Inputs!$B$68*SIN((-$B138)))-Inputs!$B$5))/M138)-IF(((((Inputs!$C$68*COS((-$B138))+Inputs!$B$68*SIN((-$B138)))-Inputs!$B$5)*(K138-Inputs!$B$5)+((Inputs!$C$68*SIN((-$B138))-Inputs!$B$68*COS((-$B138)))-Inputs!$B$6)*(L138-Inputs!$B$6))/M138)&lt;$B$16,$B$7/2,$B$8/2)-Inputs!$B$39),IF(OR(Inputs!$C$69=0,((((Inputs!$C$69*COS((-$B138))+Inputs!$B$69*SIN((-$B138)))-Inputs!$B$5)*(K138-Inputs!$B$5)+((Inputs!$C$69*SIN((-$B138))-Inputs!$B$69*COS((-$B138)))-Inputs!$B$6)*(L138-Inputs!$B$6))/M138)&lt;0,((((Inputs!$C$69*COS((-$B138))+Inputs!$B$69*SIN((-$B138)))-Inputs!$B$5)*(K138-Inputs!$B$5)+((Inputs!$C$69*SIN((-$B138))-Inputs!$B$69*COS((-$B138)))-Inputs!$B$6)*(L138-Inputs!$B$6))/M138)&gt;M138-Inputs!$B$40),999,(ABS((K138-Inputs!$B$5)*((Inputs!$C$69*SIN((-$B138))-Inputs!$B$69*COS((-$B138)))-Inputs!$B$6)-(L138-Inputs!$B$6)*((Inputs!$C$69*COS((-$B138))+Inputs!$B$69*SIN((-$B138)))-Inputs!$B$5))/M138)-IF(((((Inputs!$C$69*COS((-$B138))+Inputs!$B$69*SIN((-$B138)))-Inputs!$B$5)*(K138-Inputs!$B$5)+((Inputs!$C$69*SIN((-$B138))-Inputs!$B$69*COS((-$B138)))-Inputs!$B$6)*(L138-Inputs!$B$6))/M138)&lt;$B$16,$B$7/2,$B$8/2)-Inputs!$B$39),IF(OR(Inputs!$C$70=0,((((Inputs!$C$70*COS((-$B138))+Inputs!$B$70*SIN((-$B138)))-Inputs!$B$5)*(K138-Inputs!$B$5)+((Inputs!$C$70*SIN((-$B138))-Inputs!$B$70*COS((-$B138)))-Inputs!$B$6)*(L138-Inputs!$B$6))/M138)&lt;0,((((Inputs!$C$70*COS((-$B138))+Inputs!$B$70*SIN((-$B138)))-Inputs!$B$5)*(K138-Inputs!$B$5)+((Inputs!$C$70*SIN((-$B138))-Inputs!$B$70*COS((-$B138)))-Inputs!$B$6)*(L138-Inputs!$B$6))/M138)&gt;M138-Inputs!$B$40),999,(ABS((K138-Inputs!$B$5)*((Inputs!$C$70*SIN((-$B138))-Inputs!$B$70*COS((-$B138)))-Inputs!$B$6)-(L138-Inputs!$B$6)*((Inputs!$C$70*COS((-$B138))+Inputs!$B$70*SIN((-$B138)))-Inputs!$B$5))/M138)-IF(((((Inputs!$C$70*COS((-$B138))+Inputs!$B$70*SIN((-$B138)))-Inputs!$B$5)*(K138-Inputs!$B$5)+((Inputs!$C$70*SIN((-$B138))-Inputs!$B$70*COS((-$B138)))-Inputs!$B$6)*(L138-Inputs!$B$6))/M138)&lt;$B$16,$B$7/2,$B$8/2)-Inputs!$B$39),IF(OR(Inputs!$C$71=0,((((Inputs!$C$71*COS((-$B138))+Inputs!$B$71*SIN((-$B138)))-Inputs!$B$5)*(K138-Inputs!$B$5)+((Inputs!$C$71*SIN((-$B138))-Inputs!$B$71*COS((-$B138)))-Inputs!$B$6)*(L138-Inputs!$B$6))/M138)&lt;0,((((Inputs!$C$71*COS((-$B138))+Inputs!$B$71*SIN((-$B138)))-Inputs!$B$5)*(K138-Inputs!$B$5)+((Inputs!$C$71*SIN((-$B138))-Inputs!$B$71*COS((-$B138)))-Inputs!$B$6)*(L138-Inputs!$B$6))/M138)&gt;M138-Inputs!$B$40),999,(ABS((K138-Inputs!$B$5)*((Inputs!$C$71*SIN((-$B138))-Inputs!$B$71*COS((-$B138)))-Inputs!$B$6)-(L138-Inputs!$B$6)*((Inputs!$C$71*COS((-$B138))+Inputs!$B$71*SIN((-$B138)))-Inputs!$B$5))/M138)-IF(((((Inputs!$C$71*COS((-$B138))+Inputs!$B$71*SIN((-$B138)))-Inputs!$B$5)*(K138-Inputs!$B$5)+((Inputs!$C$71*SIN((-$B138))-Inputs!$B$71*COS((-$B138)))-Inputs!$B$6)*(L138-Inputs!$B$6))/M138)&lt;$B$16,$B$7/2,$B$8/2)-Inputs!$B$39),IF(OR(Inputs!$C$72=0,((((Inputs!$C$72*COS((-$B138))+Inputs!$B$72*SIN((-$B138)))-Inputs!$B$5)*(K138-Inputs!$B$5)+((Inputs!$C$72*SIN((-$B138))-Inputs!$B$72*COS((-$B138)))-Inputs!$B$6)*(L138-Inputs!$B$6))/M138)&lt;0,((((Inputs!$C$72*COS((-$B138))+Inputs!$B$72*SIN((-$B138)))-Inputs!$B$5)*(K138-Inputs!$B$5)+((Inputs!$C$72*SIN((-$B138))-Inputs!$B$72*COS((-$B138)))-Inputs!$B$6)*(L138-Inputs!$B$6))/M138)&gt;M138-Inputs!$B$40),999,(ABS((K138-Inputs!$B$5)*((Inputs!$C$72*SIN((-$B138))-Inputs!$B$72*COS((-$B138)))-Inputs!$B$6)-(L138-Inputs!$B$6)*((Inputs!$C$72*COS((-$B138))+Inputs!$B$72*SIN((-$B138)))-Inputs!$B$5))/M138)-IF(((((Inputs!$C$72*COS((-$B138))+Inputs!$B$72*SIN((-$B138)))-Inputs!$B$5)*(K138-Inputs!$B$5)+((Inputs!$C$72*SIN((-$B138))-Inputs!$B$72*COS((-$B138)))-Inputs!$B$6)*(L138-Inputs!$B$6))/M138)&lt;$B$16,$B$7/2,$B$8/2)-Inputs!$B$39))</f>
        <v>20.90451692</v>
      </c>
      <c r="P138" s="76">
        <f>IF(AND(M138&gt;=$B$14,M138&lt;=$B$15,N138&lt;=Inputs!$B$38,O138&gt;=0,$D138=1),1,0)</f>
        <v>0</v>
      </c>
    </row>
    <row r="139" ht="15.75" customHeight="1">
      <c r="A139" s="23">
        <v>24.0</v>
      </c>
      <c r="B139" s="40">
        <f t="shared" si="4"/>
        <v>0.4188790205</v>
      </c>
      <c r="C139" s="29">
        <f>MAX(Inputs!$C$68*COS($B139)+Inputs!$B$68*ABS(SIN($B139)),Inputs!$C$69*COS($B139)+Inputs!$B$69*ABS(SIN($B139)),Inputs!$C$70*COS($B139)+Inputs!$B$70*ABS(SIN($B139)),Inputs!$C$71*COS($B139)+Inputs!$B$71*ABS(SIN($B139)),Inputs!$C$72*COS($B139)+Inputs!$B$72*ABS(SIN($B139)))</f>
        <v>234.3270425</v>
      </c>
      <c r="D139" s="108">
        <f>IF(C139&lt;=Inputs!$B$38,1,0)</f>
        <v>1</v>
      </c>
      <c r="E139" s="29">
        <f>Inputs!$B$11*COS(($B139))-Inputs!$B$7*SIN(($B139))</f>
        <v>168.9152285</v>
      </c>
      <c r="F139" s="29">
        <f>Inputs!$B$11*SIN(($B139))+Inputs!$B$7*COS(($B139))</f>
        <v>-143.7213506</v>
      </c>
      <c r="G139" s="29">
        <f>SQRT((E139-Inputs!$B$5)^2+(F139-Inputs!$B$6)^2)</f>
        <v>256.8556733</v>
      </c>
      <c r="H139" s="29">
        <f>MAX(MAX(Inputs!$B$5,(Inputs!$B$5+(E139-Inputs!$B$5)*MIN(1,$B$16/G139)))+$B$7/2,MAX((Inputs!$B$5+(E139-Inputs!$B$5)*MIN(1,$B$16/G139)),E139)+Inputs!$B$41)</f>
        <v>291.8</v>
      </c>
      <c r="I139" s="29">
        <f>MIN(IF(OR(Inputs!$C$68=0,((((Inputs!$C$68*COS(($B139))+Inputs!$B$68*SIN(($B139)))-Inputs!$B$5)*(E139-Inputs!$B$5)+((Inputs!$C$68*SIN(($B139))-Inputs!$B$68*COS(($B139)))-Inputs!$B$6)*(F139-Inputs!$B$6))/G139)&lt;0,((((Inputs!$C$68*COS(($B139))+Inputs!$B$68*SIN(($B139)))-Inputs!$B$5)*(E139-Inputs!$B$5)+((Inputs!$C$68*SIN(($B139))-Inputs!$B$68*COS(($B139)))-Inputs!$B$6)*(F139-Inputs!$B$6))/G139)&gt;G139-Inputs!$B$40),999,(ABS((E139-Inputs!$B$5)*((Inputs!$C$68*SIN(($B139))-Inputs!$B$68*COS(($B139)))-Inputs!$B$6)-(F139-Inputs!$B$6)*((Inputs!$C$68*COS(($B139))+Inputs!$B$68*SIN(($B139)))-Inputs!$B$5))/G139)-IF(((((Inputs!$C$68*COS(($B139))+Inputs!$B$68*SIN(($B139)))-Inputs!$B$5)*(E139-Inputs!$B$5)+((Inputs!$C$68*SIN(($B139))-Inputs!$B$68*COS(($B139)))-Inputs!$B$6)*(F139-Inputs!$B$6))/G139)&lt;$B$16,$B$7/2,$B$8/2)-Inputs!$B$39),IF(OR(Inputs!$C$69=0,((((Inputs!$C$69*COS(($B139))+Inputs!$B$69*SIN(($B139)))-Inputs!$B$5)*(E139-Inputs!$B$5)+((Inputs!$C$69*SIN(($B139))-Inputs!$B$69*COS(($B139)))-Inputs!$B$6)*(F139-Inputs!$B$6))/G139)&lt;0,((((Inputs!$C$69*COS(($B139))+Inputs!$B$69*SIN(($B139)))-Inputs!$B$5)*(E139-Inputs!$B$5)+((Inputs!$C$69*SIN(($B139))-Inputs!$B$69*COS(($B139)))-Inputs!$B$6)*(F139-Inputs!$B$6))/G139)&gt;G139-Inputs!$B$40),999,(ABS((E139-Inputs!$B$5)*((Inputs!$C$69*SIN(($B139))-Inputs!$B$69*COS(($B139)))-Inputs!$B$6)-(F139-Inputs!$B$6)*((Inputs!$C$69*COS(($B139))+Inputs!$B$69*SIN(($B139)))-Inputs!$B$5))/G139)-IF(((((Inputs!$C$69*COS(($B139))+Inputs!$B$69*SIN(($B139)))-Inputs!$B$5)*(E139-Inputs!$B$5)+((Inputs!$C$69*SIN(($B139))-Inputs!$B$69*COS(($B139)))-Inputs!$B$6)*(F139-Inputs!$B$6))/G139)&lt;$B$16,$B$7/2,$B$8/2)-Inputs!$B$39),IF(OR(Inputs!$C$70=0,((((Inputs!$C$70*COS(($B139))+Inputs!$B$70*SIN(($B139)))-Inputs!$B$5)*(E139-Inputs!$B$5)+((Inputs!$C$70*SIN(($B139))-Inputs!$B$70*COS(($B139)))-Inputs!$B$6)*(F139-Inputs!$B$6))/G139)&lt;0,((((Inputs!$C$70*COS(($B139))+Inputs!$B$70*SIN(($B139)))-Inputs!$B$5)*(E139-Inputs!$B$5)+((Inputs!$C$70*SIN(($B139))-Inputs!$B$70*COS(($B139)))-Inputs!$B$6)*(F139-Inputs!$B$6))/G139)&gt;G139-Inputs!$B$40),999,(ABS((E139-Inputs!$B$5)*((Inputs!$C$70*SIN(($B139))-Inputs!$B$70*COS(($B139)))-Inputs!$B$6)-(F139-Inputs!$B$6)*((Inputs!$C$70*COS(($B139))+Inputs!$B$70*SIN(($B139)))-Inputs!$B$5))/G139)-IF(((((Inputs!$C$70*COS(($B139))+Inputs!$B$70*SIN(($B139)))-Inputs!$B$5)*(E139-Inputs!$B$5)+((Inputs!$C$70*SIN(($B139))-Inputs!$B$70*COS(($B139)))-Inputs!$B$6)*(F139-Inputs!$B$6))/G139)&lt;$B$16,$B$7/2,$B$8/2)-Inputs!$B$39),IF(OR(Inputs!$C$71=0,((((Inputs!$C$71*COS(($B139))+Inputs!$B$71*SIN(($B139)))-Inputs!$B$5)*(E139-Inputs!$B$5)+((Inputs!$C$71*SIN(($B139))-Inputs!$B$71*COS(($B139)))-Inputs!$B$6)*(F139-Inputs!$B$6))/G139)&lt;0,((((Inputs!$C$71*COS(($B139))+Inputs!$B$71*SIN(($B139)))-Inputs!$B$5)*(E139-Inputs!$B$5)+((Inputs!$C$71*SIN(($B139))-Inputs!$B$71*COS(($B139)))-Inputs!$B$6)*(F139-Inputs!$B$6))/G139)&gt;G139-Inputs!$B$40),999,(ABS((E139-Inputs!$B$5)*((Inputs!$C$71*SIN(($B139))-Inputs!$B$71*COS(($B139)))-Inputs!$B$6)-(F139-Inputs!$B$6)*((Inputs!$C$71*COS(($B139))+Inputs!$B$71*SIN(($B139)))-Inputs!$B$5))/G139)-IF(((((Inputs!$C$71*COS(($B139))+Inputs!$B$71*SIN(($B139)))-Inputs!$B$5)*(E139-Inputs!$B$5)+((Inputs!$C$71*SIN(($B139))-Inputs!$B$71*COS(($B139)))-Inputs!$B$6)*(F139-Inputs!$B$6))/G139)&lt;$B$16,$B$7/2,$B$8/2)-Inputs!$B$39),IF(OR(Inputs!$C$72=0,((((Inputs!$C$72*COS(($B139))+Inputs!$B$72*SIN(($B139)))-Inputs!$B$5)*(E139-Inputs!$B$5)+((Inputs!$C$72*SIN(($B139))-Inputs!$B$72*COS(($B139)))-Inputs!$B$6)*(F139-Inputs!$B$6))/G139)&lt;0,((((Inputs!$C$72*COS(($B139))+Inputs!$B$72*SIN(($B139)))-Inputs!$B$5)*(E139-Inputs!$B$5)+((Inputs!$C$72*SIN(($B139))-Inputs!$B$72*COS(($B139)))-Inputs!$B$6)*(F139-Inputs!$B$6))/G139)&gt;G139-Inputs!$B$40),999,(ABS((E139-Inputs!$B$5)*((Inputs!$C$72*SIN(($B139))-Inputs!$B$72*COS(($B139)))-Inputs!$B$6)-(F139-Inputs!$B$6)*((Inputs!$C$72*COS(($B139))+Inputs!$B$72*SIN(($B139)))-Inputs!$B$5))/G139)-IF(((((Inputs!$C$72*COS(($B139))+Inputs!$B$72*SIN(($B139)))-Inputs!$B$5)*(E139-Inputs!$B$5)+((Inputs!$C$72*SIN(($B139))-Inputs!$B$72*COS(($B139)))-Inputs!$B$6)*(F139-Inputs!$B$6))/G139)&lt;$B$16,$B$7/2,$B$8/2)-Inputs!$B$39))</f>
        <v>48.89584732</v>
      </c>
      <c r="J139" s="76">
        <f>IF(AND(G139&gt;=$B$14,G139&lt;=$B$15,H139&lt;=Inputs!$B$38,I139&gt;=0,$D139=1),1,0)</f>
        <v>0</v>
      </c>
      <c r="K139" s="29">
        <f>Inputs!$B$11*COS((-$B139))-Inputs!$B$7*SIN((-$B139))</f>
        <v>6.220571227</v>
      </c>
      <c r="L139" s="29">
        <f>Inputs!$B$11*SIN((-$B139))+Inputs!$B$7*COS((-$B139))</f>
        <v>-221.6968325</v>
      </c>
      <c r="M139" s="29">
        <f>SQRT((K139-Inputs!$B$5)^2+(L139-Inputs!$B$6)^2)</f>
        <v>403.6301053</v>
      </c>
      <c r="N139" s="29">
        <f>MAX(MAX(Inputs!$B$5,(Inputs!$B$5+(K139-Inputs!$B$5)*MIN(1,$B$16/M139)))+$B$7/2,MAX((Inputs!$B$5+(K139-Inputs!$B$5)*MIN(1,$B$16/M139)),K139)+Inputs!$B$41)</f>
        <v>291.8</v>
      </c>
      <c r="O139" s="29">
        <f>MIN(IF(OR(Inputs!$C$68=0,((((Inputs!$C$68*COS((-$B139))+Inputs!$B$68*SIN((-$B139)))-Inputs!$B$5)*(K139-Inputs!$B$5)+((Inputs!$C$68*SIN((-$B139))-Inputs!$B$68*COS((-$B139)))-Inputs!$B$6)*(L139-Inputs!$B$6))/M139)&lt;0,((((Inputs!$C$68*COS((-$B139))+Inputs!$B$68*SIN((-$B139)))-Inputs!$B$5)*(K139-Inputs!$B$5)+((Inputs!$C$68*SIN((-$B139))-Inputs!$B$68*COS((-$B139)))-Inputs!$B$6)*(L139-Inputs!$B$6))/M139)&gt;M139-Inputs!$B$40),999,(ABS((K139-Inputs!$B$5)*((Inputs!$C$68*SIN((-$B139))-Inputs!$B$68*COS((-$B139)))-Inputs!$B$6)-(L139-Inputs!$B$6)*((Inputs!$C$68*COS((-$B139))+Inputs!$B$68*SIN((-$B139)))-Inputs!$B$5))/M139)-IF(((((Inputs!$C$68*COS((-$B139))+Inputs!$B$68*SIN((-$B139)))-Inputs!$B$5)*(K139-Inputs!$B$5)+((Inputs!$C$68*SIN((-$B139))-Inputs!$B$68*COS((-$B139)))-Inputs!$B$6)*(L139-Inputs!$B$6))/M139)&lt;$B$16,$B$7/2,$B$8/2)-Inputs!$B$39),IF(OR(Inputs!$C$69=0,((((Inputs!$C$69*COS((-$B139))+Inputs!$B$69*SIN((-$B139)))-Inputs!$B$5)*(K139-Inputs!$B$5)+((Inputs!$C$69*SIN((-$B139))-Inputs!$B$69*COS((-$B139)))-Inputs!$B$6)*(L139-Inputs!$B$6))/M139)&lt;0,((((Inputs!$C$69*COS((-$B139))+Inputs!$B$69*SIN((-$B139)))-Inputs!$B$5)*(K139-Inputs!$B$5)+((Inputs!$C$69*SIN((-$B139))-Inputs!$B$69*COS((-$B139)))-Inputs!$B$6)*(L139-Inputs!$B$6))/M139)&gt;M139-Inputs!$B$40),999,(ABS((K139-Inputs!$B$5)*((Inputs!$C$69*SIN((-$B139))-Inputs!$B$69*COS((-$B139)))-Inputs!$B$6)-(L139-Inputs!$B$6)*((Inputs!$C$69*COS((-$B139))+Inputs!$B$69*SIN((-$B139)))-Inputs!$B$5))/M139)-IF(((((Inputs!$C$69*COS((-$B139))+Inputs!$B$69*SIN((-$B139)))-Inputs!$B$5)*(K139-Inputs!$B$5)+((Inputs!$C$69*SIN((-$B139))-Inputs!$B$69*COS((-$B139)))-Inputs!$B$6)*(L139-Inputs!$B$6))/M139)&lt;$B$16,$B$7/2,$B$8/2)-Inputs!$B$39),IF(OR(Inputs!$C$70=0,((((Inputs!$C$70*COS((-$B139))+Inputs!$B$70*SIN((-$B139)))-Inputs!$B$5)*(K139-Inputs!$B$5)+((Inputs!$C$70*SIN((-$B139))-Inputs!$B$70*COS((-$B139)))-Inputs!$B$6)*(L139-Inputs!$B$6))/M139)&lt;0,((((Inputs!$C$70*COS((-$B139))+Inputs!$B$70*SIN((-$B139)))-Inputs!$B$5)*(K139-Inputs!$B$5)+((Inputs!$C$70*SIN((-$B139))-Inputs!$B$70*COS((-$B139)))-Inputs!$B$6)*(L139-Inputs!$B$6))/M139)&gt;M139-Inputs!$B$40),999,(ABS((K139-Inputs!$B$5)*((Inputs!$C$70*SIN((-$B139))-Inputs!$B$70*COS((-$B139)))-Inputs!$B$6)-(L139-Inputs!$B$6)*((Inputs!$C$70*COS((-$B139))+Inputs!$B$70*SIN((-$B139)))-Inputs!$B$5))/M139)-IF(((((Inputs!$C$70*COS((-$B139))+Inputs!$B$70*SIN((-$B139)))-Inputs!$B$5)*(K139-Inputs!$B$5)+((Inputs!$C$70*SIN((-$B139))-Inputs!$B$70*COS((-$B139)))-Inputs!$B$6)*(L139-Inputs!$B$6))/M139)&lt;$B$16,$B$7/2,$B$8/2)-Inputs!$B$39),IF(OR(Inputs!$C$71=0,((((Inputs!$C$71*COS((-$B139))+Inputs!$B$71*SIN((-$B139)))-Inputs!$B$5)*(K139-Inputs!$B$5)+((Inputs!$C$71*SIN((-$B139))-Inputs!$B$71*COS((-$B139)))-Inputs!$B$6)*(L139-Inputs!$B$6))/M139)&lt;0,((((Inputs!$C$71*COS((-$B139))+Inputs!$B$71*SIN((-$B139)))-Inputs!$B$5)*(K139-Inputs!$B$5)+((Inputs!$C$71*SIN((-$B139))-Inputs!$B$71*COS((-$B139)))-Inputs!$B$6)*(L139-Inputs!$B$6))/M139)&gt;M139-Inputs!$B$40),999,(ABS((K139-Inputs!$B$5)*((Inputs!$C$71*SIN((-$B139))-Inputs!$B$71*COS((-$B139)))-Inputs!$B$6)-(L139-Inputs!$B$6)*((Inputs!$C$71*COS((-$B139))+Inputs!$B$71*SIN((-$B139)))-Inputs!$B$5))/M139)-IF(((((Inputs!$C$71*COS((-$B139))+Inputs!$B$71*SIN((-$B139)))-Inputs!$B$5)*(K139-Inputs!$B$5)+((Inputs!$C$71*SIN((-$B139))-Inputs!$B$71*COS((-$B139)))-Inputs!$B$6)*(L139-Inputs!$B$6))/M139)&lt;$B$16,$B$7/2,$B$8/2)-Inputs!$B$39),IF(OR(Inputs!$C$72=0,((((Inputs!$C$72*COS((-$B139))+Inputs!$B$72*SIN((-$B139)))-Inputs!$B$5)*(K139-Inputs!$B$5)+((Inputs!$C$72*SIN((-$B139))-Inputs!$B$72*COS((-$B139)))-Inputs!$B$6)*(L139-Inputs!$B$6))/M139)&lt;0,((((Inputs!$C$72*COS((-$B139))+Inputs!$B$72*SIN((-$B139)))-Inputs!$B$5)*(K139-Inputs!$B$5)+((Inputs!$C$72*SIN((-$B139))-Inputs!$B$72*COS((-$B139)))-Inputs!$B$6)*(L139-Inputs!$B$6))/M139)&gt;M139-Inputs!$B$40),999,(ABS((K139-Inputs!$B$5)*((Inputs!$C$72*SIN((-$B139))-Inputs!$B$72*COS((-$B139)))-Inputs!$B$6)-(L139-Inputs!$B$6)*((Inputs!$C$72*COS((-$B139))+Inputs!$B$72*SIN((-$B139)))-Inputs!$B$5))/M139)-IF(((((Inputs!$C$72*COS((-$B139))+Inputs!$B$72*SIN((-$B139)))-Inputs!$B$5)*(K139-Inputs!$B$5)+((Inputs!$C$72*SIN((-$B139))-Inputs!$B$72*COS((-$B139)))-Inputs!$B$6)*(L139-Inputs!$B$6))/M139)&lt;$B$16,$B$7/2,$B$8/2)-Inputs!$B$39))</f>
        <v>20.56854595</v>
      </c>
      <c r="P139" s="76">
        <f>IF(AND(M139&gt;=$B$14,M139&lt;=$B$15,N139&lt;=Inputs!$B$38,O139&gt;=0,$D139=1),1,0)</f>
        <v>0</v>
      </c>
    </row>
    <row r="140" ht="15.75" customHeight="1">
      <c r="A140" s="23">
        <v>24.25</v>
      </c>
      <c r="B140" s="40">
        <f t="shared" si="4"/>
        <v>0.4232423436</v>
      </c>
      <c r="C140" s="29">
        <f>MAX(Inputs!$C$68*COS($B140)+Inputs!$B$68*ABS(SIN($B140)),Inputs!$C$69*COS($B140)+Inputs!$B$69*ABS(SIN($B140)),Inputs!$C$70*COS($B140)+Inputs!$B$70*ABS(SIN($B140)),Inputs!$C$71*COS($B140)+Inputs!$B$71*ABS(SIN($B140)),Inputs!$C$72*COS($B140)+Inputs!$B$72*ABS(SIN($B140)))</f>
        <v>235.7737722</v>
      </c>
      <c r="D140" s="108">
        <f>IF(C140&lt;=Inputs!$B$38,1,0)</f>
        <v>1</v>
      </c>
      <c r="E140" s="29">
        <f>Inputs!$B$11*COS(($B140))-Inputs!$B$7*SIN(($B140))</f>
        <v>169.5407212</v>
      </c>
      <c r="F140" s="29">
        <f>Inputs!$B$11*SIN(($B140))+Inputs!$B$7*COS(($B140))</f>
        <v>-142.9829531</v>
      </c>
      <c r="G140" s="29">
        <f>SQRT((E140-Inputs!$B$5)^2+(F140-Inputs!$B$6)^2)</f>
        <v>255.9578306</v>
      </c>
      <c r="H140" s="29">
        <f>MAX(MAX(Inputs!$B$5,(Inputs!$B$5+(E140-Inputs!$B$5)*MIN(1,$B$16/G140)))+$B$7/2,MAX((Inputs!$B$5+(E140-Inputs!$B$5)*MIN(1,$B$16/G140)),E140)+Inputs!$B$41)</f>
        <v>291.8</v>
      </c>
      <c r="I140" s="29">
        <f>MIN(IF(OR(Inputs!$C$68=0,((((Inputs!$C$68*COS(($B140))+Inputs!$B$68*SIN(($B140)))-Inputs!$B$5)*(E140-Inputs!$B$5)+((Inputs!$C$68*SIN(($B140))-Inputs!$B$68*COS(($B140)))-Inputs!$B$6)*(F140-Inputs!$B$6))/G140)&lt;0,((((Inputs!$C$68*COS(($B140))+Inputs!$B$68*SIN(($B140)))-Inputs!$B$5)*(E140-Inputs!$B$5)+((Inputs!$C$68*SIN(($B140))-Inputs!$B$68*COS(($B140)))-Inputs!$B$6)*(F140-Inputs!$B$6))/G140)&gt;G140-Inputs!$B$40),999,(ABS((E140-Inputs!$B$5)*((Inputs!$C$68*SIN(($B140))-Inputs!$B$68*COS(($B140)))-Inputs!$B$6)-(F140-Inputs!$B$6)*((Inputs!$C$68*COS(($B140))+Inputs!$B$68*SIN(($B140)))-Inputs!$B$5))/G140)-IF(((((Inputs!$C$68*COS(($B140))+Inputs!$B$68*SIN(($B140)))-Inputs!$B$5)*(E140-Inputs!$B$5)+((Inputs!$C$68*SIN(($B140))-Inputs!$B$68*COS(($B140)))-Inputs!$B$6)*(F140-Inputs!$B$6))/G140)&lt;$B$16,$B$7/2,$B$8/2)-Inputs!$B$39),IF(OR(Inputs!$C$69=0,((((Inputs!$C$69*COS(($B140))+Inputs!$B$69*SIN(($B140)))-Inputs!$B$5)*(E140-Inputs!$B$5)+((Inputs!$C$69*SIN(($B140))-Inputs!$B$69*COS(($B140)))-Inputs!$B$6)*(F140-Inputs!$B$6))/G140)&lt;0,((((Inputs!$C$69*COS(($B140))+Inputs!$B$69*SIN(($B140)))-Inputs!$B$5)*(E140-Inputs!$B$5)+((Inputs!$C$69*SIN(($B140))-Inputs!$B$69*COS(($B140)))-Inputs!$B$6)*(F140-Inputs!$B$6))/G140)&gt;G140-Inputs!$B$40),999,(ABS((E140-Inputs!$B$5)*((Inputs!$C$69*SIN(($B140))-Inputs!$B$69*COS(($B140)))-Inputs!$B$6)-(F140-Inputs!$B$6)*((Inputs!$C$69*COS(($B140))+Inputs!$B$69*SIN(($B140)))-Inputs!$B$5))/G140)-IF(((((Inputs!$C$69*COS(($B140))+Inputs!$B$69*SIN(($B140)))-Inputs!$B$5)*(E140-Inputs!$B$5)+((Inputs!$C$69*SIN(($B140))-Inputs!$B$69*COS(($B140)))-Inputs!$B$6)*(F140-Inputs!$B$6))/G140)&lt;$B$16,$B$7/2,$B$8/2)-Inputs!$B$39),IF(OR(Inputs!$C$70=0,((((Inputs!$C$70*COS(($B140))+Inputs!$B$70*SIN(($B140)))-Inputs!$B$5)*(E140-Inputs!$B$5)+((Inputs!$C$70*SIN(($B140))-Inputs!$B$70*COS(($B140)))-Inputs!$B$6)*(F140-Inputs!$B$6))/G140)&lt;0,((((Inputs!$C$70*COS(($B140))+Inputs!$B$70*SIN(($B140)))-Inputs!$B$5)*(E140-Inputs!$B$5)+((Inputs!$C$70*SIN(($B140))-Inputs!$B$70*COS(($B140)))-Inputs!$B$6)*(F140-Inputs!$B$6))/G140)&gt;G140-Inputs!$B$40),999,(ABS((E140-Inputs!$B$5)*((Inputs!$C$70*SIN(($B140))-Inputs!$B$70*COS(($B140)))-Inputs!$B$6)-(F140-Inputs!$B$6)*((Inputs!$C$70*COS(($B140))+Inputs!$B$70*SIN(($B140)))-Inputs!$B$5))/G140)-IF(((((Inputs!$C$70*COS(($B140))+Inputs!$B$70*SIN(($B140)))-Inputs!$B$5)*(E140-Inputs!$B$5)+((Inputs!$C$70*SIN(($B140))-Inputs!$B$70*COS(($B140)))-Inputs!$B$6)*(F140-Inputs!$B$6))/G140)&lt;$B$16,$B$7/2,$B$8/2)-Inputs!$B$39),IF(OR(Inputs!$C$71=0,((((Inputs!$C$71*COS(($B140))+Inputs!$B$71*SIN(($B140)))-Inputs!$B$5)*(E140-Inputs!$B$5)+((Inputs!$C$71*SIN(($B140))-Inputs!$B$71*COS(($B140)))-Inputs!$B$6)*(F140-Inputs!$B$6))/G140)&lt;0,((((Inputs!$C$71*COS(($B140))+Inputs!$B$71*SIN(($B140)))-Inputs!$B$5)*(E140-Inputs!$B$5)+((Inputs!$C$71*SIN(($B140))-Inputs!$B$71*COS(($B140)))-Inputs!$B$6)*(F140-Inputs!$B$6))/G140)&gt;G140-Inputs!$B$40),999,(ABS((E140-Inputs!$B$5)*((Inputs!$C$71*SIN(($B140))-Inputs!$B$71*COS(($B140)))-Inputs!$B$6)-(F140-Inputs!$B$6)*((Inputs!$C$71*COS(($B140))+Inputs!$B$71*SIN(($B140)))-Inputs!$B$5))/G140)-IF(((((Inputs!$C$71*COS(($B140))+Inputs!$B$71*SIN(($B140)))-Inputs!$B$5)*(E140-Inputs!$B$5)+((Inputs!$C$71*SIN(($B140))-Inputs!$B$71*COS(($B140)))-Inputs!$B$6)*(F140-Inputs!$B$6))/G140)&lt;$B$16,$B$7/2,$B$8/2)-Inputs!$B$39),IF(OR(Inputs!$C$72=0,((((Inputs!$C$72*COS(($B140))+Inputs!$B$72*SIN(($B140)))-Inputs!$B$5)*(E140-Inputs!$B$5)+((Inputs!$C$72*SIN(($B140))-Inputs!$B$72*COS(($B140)))-Inputs!$B$6)*(F140-Inputs!$B$6))/G140)&lt;0,((((Inputs!$C$72*COS(($B140))+Inputs!$B$72*SIN(($B140)))-Inputs!$B$5)*(E140-Inputs!$B$5)+((Inputs!$C$72*SIN(($B140))-Inputs!$B$72*COS(($B140)))-Inputs!$B$6)*(F140-Inputs!$B$6))/G140)&gt;G140-Inputs!$B$40),999,(ABS((E140-Inputs!$B$5)*((Inputs!$C$72*SIN(($B140))-Inputs!$B$72*COS(($B140)))-Inputs!$B$6)-(F140-Inputs!$B$6)*((Inputs!$C$72*COS(($B140))+Inputs!$B$72*SIN(($B140)))-Inputs!$B$5))/G140)-IF(((((Inputs!$C$72*COS(($B140))+Inputs!$B$72*SIN(($B140)))-Inputs!$B$5)*(E140-Inputs!$B$5)+((Inputs!$C$72*SIN(($B140))-Inputs!$B$72*COS(($B140)))-Inputs!$B$6)*(F140-Inputs!$B$6))/G140)&lt;$B$16,$B$7/2,$B$8/2)-Inputs!$B$39))</f>
        <v>49.06279673</v>
      </c>
      <c r="J140" s="76">
        <f>IF(AND(G140&gt;=$B$14,G140&lt;=$B$15,H140&lt;=Inputs!$B$38,I140&gt;=0,$D140=1),1,0)</f>
        <v>0</v>
      </c>
      <c r="K140" s="29">
        <f>Inputs!$B$11*COS((-$B140))-Inputs!$B$7*SIN((-$B140))</f>
        <v>5.253180164</v>
      </c>
      <c r="L140" s="29">
        <f>Inputs!$B$11*SIN((-$B140))+Inputs!$B$7*COS((-$B140))</f>
        <v>-221.7218643</v>
      </c>
      <c r="M140" s="29">
        <f>SQRT((K140-Inputs!$B$5)^2+(L140-Inputs!$B$6)^2)</f>
        <v>404.2350354</v>
      </c>
      <c r="N140" s="29">
        <f>MAX(MAX(Inputs!$B$5,(Inputs!$B$5+(K140-Inputs!$B$5)*MIN(1,$B$16/M140)))+$B$7/2,MAX((Inputs!$B$5+(K140-Inputs!$B$5)*MIN(1,$B$16/M140)),K140)+Inputs!$B$41)</f>
        <v>291.8</v>
      </c>
      <c r="O140" s="29">
        <f>MIN(IF(OR(Inputs!$C$68=0,((((Inputs!$C$68*COS((-$B140))+Inputs!$B$68*SIN((-$B140)))-Inputs!$B$5)*(K140-Inputs!$B$5)+((Inputs!$C$68*SIN((-$B140))-Inputs!$B$68*COS((-$B140)))-Inputs!$B$6)*(L140-Inputs!$B$6))/M140)&lt;0,((((Inputs!$C$68*COS((-$B140))+Inputs!$B$68*SIN((-$B140)))-Inputs!$B$5)*(K140-Inputs!$B$5)+((Inputs!$C$68*SIN((-$B140))-Inputs!$B$68*COS((-$B140)))-Inputs!$B$6)*(L140-Inputs!$B$6))/M140)&gt;M140-Inputs!$B$40),999,(ABS((K140-Inputs!$B$5)*((Inputs!$C$68*SIN((-$B140))-Inputs!$B$68*COS((-$B140)))-Inputs!$B$6)-(L140-Inputs!$B$6)*((Inputs!$C$68*COS((-$B140))+Inputs!$B$68*SIN((-$B140)))-Inputs!$B$5))/M140)-IF(((((Inputs!$C$68*COS((-$B140))+Inputs!$B$68*SIN((-$B140)))-Inputs!$B$5)*(K140-Inputs!$B$5)+((Inputs!$C$68*SIN((-$B140))-Inputs!$B$68*COS((-$B140)))-Inputs!$B$6)*(L140-Inputs!$B$6))/M140)&lt;$B$16,$B$7/2,$B$8/2)-Inputs!$B$39),IF(OR(Inputs!$C$69=0,((((Inputs!$C$69*COS((-$B140))+Inputs!$B$69*SIN((-$B140)))-Inputs!$B$5)*(K140-Inputs!$B$5)+((Inputs!$C$69*SIN((-$B140))-Inputs!$B$69*COS((-$B140)))-Inputs!$B$6)*(L140-Inputs!$B$6))/M140)&lt;0,((((Inputs!$C$69*COS((-$B140))+Inputs!$B$69*SIN((-$B140)))-Inputs!$B$5)*(K140-Inputs!$B$5)+((Inputs!$C$69*SIN((-$B140))-Inputs!$B$69*COS((-$B140)))-Inputs!$B$6)*(L140-Inputs!$B$6))/M140)&gt;M140-Inputs!$B$40),999,(ABS((K140-Inputs!$B$5)*((Inputs!$C$69*SIN((-$B140))-Inputs!$B$69*COS((-$B140)))-Inputs!$B$6)-(L140-Inputs!$B$6)*((Inputs!$C$69*COS((-$B140))+Inputs!$B$69*SIN((-$B140)))-Inputs!$B$5))/M140)-IF(((((Inputs!$C$69*COS((-$B140))+Inputs!$B$69*SIN((-$B140)))-Inputs!$B$5)*(K140-Inputs!$B$5)+((Inputs!$C$69*SIN((-$B140))-Inputs!$B$69*COS((-$B140)))-Inputs!$B$6)*(L140-Inputs!$B$6))/M140)&lt;$B$16,$B$7/2,$B$8/2)-Inputs!$B$39),IF(OR(Inputs!$C$70=0,((((Inputs!$C$70*COS((-$B140))+Inputs!$B$70*SIN((-$B140)))-Inputs!$B$5)*(K140-Inputs!$B$5)+((Inputs!$C$70*SIN((-$B140))-Inputs!$B$70*COS((-$B140)))-Inputs!$B$6)*(L140-Inputs!$B$6))/M140)&lt;0,((((Inputs!$C$70*COS((-$B140))+Inputs!$B$70*SIN((-$B140)))-Inputs!$B$5)*(K140-Inputs!$B$5)+((Inputs!$C$70*SIN((-$B140))-Inputs!$B$70*COS((-$B140)))-Inputs!$B$6)*(L140-Inputs!$B$6))/M140)&gt;M140-Inputs!$B$40),999,(ABS((K140-Inputs!$B$5)*((Inputs!$C$70*SIN((-$B140))-Inputs!$B$70*COS((-$B140)))-Inputs!$B$6)-(L140-Inputs!$B$6)*((Inputs!$C$70*COS((-$B140))+Inputs!$B$70*SIN((-$B140)))-Inputs!$B$5))/M140)-IF(((((Inputs!$C$70*COS((-$B140))+Inputs!$B$70*SIN((-$B140)))-Inputs!$B$5)*(K140-Inputs!$B$5)+((Inputs!$C$70*SIN((-$B140))-Inputs!$B$70*COS((-$B140)))-Inputs!$B$6)*(L140-Inputs!$B$6))/M140)&lt;$B$16,$B$7/2,$B$8/2)-Inputs!$B$39),IF(OR(Inputs!$C$71=0,((((Inputs!$C$71*COS((-$B140))+Inputs!$B$71*SIN((-$B140)))-Inputs!$B$5)*(K140-Inputs!$B$5)+((Inputs!$C$71*SIN((-$B140))-Inputs!$B$71*COS((-$B140)))-Inputs!$B$6)*(L140-Inputs!$B$6))/M140)&lt;0,((((Inputs!$C$71*COS((-$B140))+Inputs!$B$71*SIN((-$B140)))-Inputs!$B$5)*(K140-Inputs!$B$5)+((Inputs!$C$71*SIN((-$B140))-Inputs!$B$71*COS((-$B140)))-Inputs!$B$6)*(L140-Inputs!$B$6))/M140)&gt;M140-Inputs!$B$40),999,(ABS((K140-Inputs!$B$5)*((Inputs!$C$71*SIN((-$B140))-Inputs!$B$71*COS((-$B140)))-Inputs!$B$6)-(L140-Inputs!$B$6)*((Inputs!$C$71*COS((-$B140))+Inputs!$B$71*SIN((-$B140)))-Inputs!$B$5))/M140)-IF(((((Inputs!$C$71*COS((-$B140))+Inputs!$B$71*SIN((-$B140)))-Inputs!$B$5)*(K140-Inputs!$B$5)+((Inputs!$C$71*SIN((-$B140))-Inputs!$B$71*COS((-$B140)))-Inputs!$B$6)*(L140-Inputs!$B$6))/M140)&lt;$B$16,$B$7/2,$B$8/2)-Inputs!$B$39),IF(OR(Inputs!$C$72=0,((((Inputs!$C$72*COS((-$B140))+Inputs!$B$72*SIN((-$B140)))-Inputs!$B$5)*(K140-Inputs!$B$5)+((Inputs!$C$72*SIN((-$B140))-Inputs!$B$72*COS((-$B140)))-Inputs!$B$6)*(L140-Inputs!$B$6))/M140)&lt;0,((((Inputs!$C$72*COS((-$B140))+Inputs!$B$72*SIN((-$B140)))-Inputs!$B$5)*(K140-Inputs!$B$5)+((Inputs!$C$72*SIN((-$B140))-Inputs!$B$72*COS((-$B140)))-Inputs!$B$6)*(L140-Inputs!$B$6))/M140)&gt;M140-Inputs!$B$40),999,(ABS((K140-Inputs!$B$5)*((Inputs!$C$72*SIN((-$B140))-Inputs!$B$72*COS((-$B140)))-Inputs!$B$6)-(L140-Inputs!$B$6)*((Inputs!$C$72*COS((-$B140))+Inputs!$B$72*SIN((-$B140)))-Inputs!$B$5))/M140)-IF(((((Inputs!$C$72*COS((-$B140))+Inputs!$B$72*SIN((-$B140)))-Inputs!$B$5)*(K140-Inputs!$B$5)+((Inputs!$C$72*SIN((-$B140))-Inputs!$B$72*COS((-$B140)))-Inputs!$B$6)*(L140-Inputs!$B$6))/M140)&lt;$B$16,$B$7/2,$B$8/2)-Inputs!$B$39))</f>
        <v>20.23246098</v>
      </c>
      <c r="P140" s="76">
        <f>IF(AND(M140&gt;=$B$14,M140&lt;=$B$15,N140&lt;=Inputs!$B$38,O140&gt;=0,$D140=1),1,0)</f>
        <v>0</v>
      </c>
    </row>
    <row r="141" ht="15.75" customHeight="1">
      <c r="A141" s="23">
        <v>24.5</v>
      </c>
      <c r="B141" s="40">
        <f t="shared" si="4"/>
        <v>0.4276056667</v>
      </c>
      <c r="C141" s="29">
        <f>MAX(Inputs!$C$68*COS($B141)+Inputs!$B$68*ABS(SIN($B141)),Inputs!$C$69*COS($B141)+Inputs!$B$69*ABS(SIN($B141)),Inputs!$C$70*COS($B141)+Inputs!$B$70*ABS(SIN($B141)),Inputs!$C$71*COS($B141)+Inputs!$B$71*ABS(SIN($B141)),Inputs!$C$72*COS($B141)+Inputs!$B$72*ABS(SIN($B141)))</f>
        <v>237.216013</v>
      </c>
      <c r="D141" s="108">
        <f>IF(C141&lt;=Inputs!$B$38,1,0)</f>
        <v>1</v>
      </c>
      <c r="E141" s="29">
        <f>Inputs!$B$11*COS(($B141))-Inputs!$B$7*SIN(($B141))</f>
        <v>170.1629862</v>
      </c>
      <c r="F141" s="29">
        <f>Inputs!$B$11*SIN(($B141))+Inputs!$B$7*COS(($B141))</f>
        <v>-142.2418334</v>
      </c>
      <c r="G141" s="29">
        <f>SQRT((E141-Inputs!$B$5)^2+(F141-Inputs!$B$6)^2)</f>
        <v>255.0589238</v>
      </c>
      <c r="H141" s="29">
        <f>MAX(MAX(Inputs!$B$5,(Inputs!$B$5+(E141-Inputs!$B$5)*MIN(1,$B$16/G141)))+$B$7/2,MAX((Inputs!$B$5+(E141-Inputs!$B$5)*MIN(1,$B$16/G141)),E141)+Inputs!$B$41)</f>
        <v>291.8</v>
      </c>
      <c r="I141" s="29">
        <f>MIN(IF(OR(Inputs!$C$68=0,((((Inputs!$C$68*COS(($B141))+Inputs!$B$68*SIN(($B141)))-Inputs!$B$5)*(E141-Inputs!$B$5)+((Inputs!$C$68*SIN(($B141))-Inputs!$B$68*COS(($B141)))-Inputs!$B$6)*(F141-Inputs!$B$6))/G141)&lt;0,((((Inputs!$C$68*COS(($B141))+Inputs!$B$68*SIN(($B141)))-Inputs!$B$5)*(E141-Inputs!$B$5)+((Inputs!$C$68*SIN(($B141))-Inputs!$B$68*COS(($B141)))-Inputs!$B$6)*(F141-Inputs!$B$6))/G141)&gt;G141-Inputs!$B$40),999,(ABS((E141-Inputs!$B$5)*((Inputs!$C$68*SIN(($B141))-Inputs!$B$68*COS(($B141)))-Inputs!$B$6)-(F141-Inputs!$B$6)*((Inputs!$C$68*COS(($B141))+Inputs!$B$68*SIN(($B141)))-Inputs!$B$5))/G141)-IF(((((Inputs!$C$68*COS(($B141))+Inputs!$B$68*SIN(($B141)))-Inputs!$B$5)*(E141-Inputs!$B$5)+((Inputs!$C$68*SIN(($B141))-Inputs!$B$68*COS(($B141)))-Inputs!$B$6)*(F141-Inputs!$B$6))/G141)&lt;$B$16,$B$7/2,$B$8/2)-Inputs!$B$39),IF(OR(Inputs!$C$69=0,((((Inputs!$C$69*COS(($B141))+Inputs!$B$69*SIN(($B141)))-Inputs!$B$5)*(E141-Inputs!$B$5)+((Inputs!$C$69*SIN(($B141))-Inputs!$B$69*COS(($B141)))-Inputs!$B$6)*(F141-Inputs!$B$6))/G141)&lt;0,((((Inputs!$C$69*COS(($B141))+Inputs!$B$69*SIN(($B141)))-Inputs!$B$5)*(E141-Inputs!$B$5)+((Inputs!$C$69*SIN(($B141))-Inputs!$B$69*COS(($B141)))-Inputs!$B$6)*(F141-Inputs!$B$6))/G141)&gt;G141-Inputs!$B$40),999,(ABS((E141-Inputs!$B$5)*((Inputs!$C$69*SIN(($B141))-Inputs!$B$69*COS(($B141)))-Inputs!$B$6)-(F141-Inputs!$B$6)*((Inputs!$C$69*COS(($B141))+Inputs!$B$69*SIN(($B141)))-Inputs!$B$5))/G141)-IF(((((Inputs!$C$69*COS(($B141))+Inputs!$B$69*SIN(($B141)))-Inputs!$B$5)*(E141-Inputs!$B$5)+((Inputs!$C$69*SIN(($B141))-Inputs!$B$69*COS(($B141)))-Inputs!$B$6)*(F141-Inputs!$B$6))/G141)&lt;$B$16,$B$7/2,$B$8/2)-Inputs!$B$39),IF(OR(Inputs!$C$70=0,((((Inputs!$C$70*COS(($B141))+Inputs!$B$70*SIN(($B141)))-Inputs!$B$5)*(E141-Inputs!$B$5)+((Inputs!$C$70*SIN(($B141))-Inputs!$B$70*COS(($B141)))-Inputs!$B$6)*(F141-Inputs!$B$6))/G141)&lt;0,((((Inputs!$C$70*COS(($B141))+Inputs!$B$70*SIN(($B141)))-Inputs!$B$5)*(E141-Inputs!$B$5)+((Inputs!$C$70*SIN(($B141))-Inputs!$B$70*COS(($B141)))-Inputs!$B$6)*(F141-Inputs!$B$6))/G141)&gt;G141-Inputs!$B$40),999,(ABS((E141-Inputs!$B$5)*((Inputs!$C$70*SIN(($B141))-Inputs!$B$70*COS(($B141)))-Inputs!$B$6)-(F141-Inputs!$B$6)*((Inputs!$C$70*COS(($B141))+Inputs!$B$70*SIN(($B141)))-Inputs!$B$5))/G141)-IF(((((Inputs!$C$70*COS(($B141))+Inputs!$B$70*SIN(($B141)))-Inputs!$B$5)*(E141-Inputs!$B$5)+((Inputs!$C$70*SIN(($B141))-Inputs!$B$70*COS(($B141)))-Inputs!$B$6)*(F141-Inputs!$B$6))/G141)&lt;$B$16,$B$7/2,$B$8/2)-Inputs!$B$39),IF(OR(Inputs!$C$71=0,((((Inputs!$C$71*COS(($B141))+Inputs!$B$71*SIN(($B141)))-Inputs!$B$5)*(E141-Inputs!$B$5)+((Inputs!$C$71*SIN(($B141))-Inputs!$B$71*COS(($B141)))-Inputs!$B$6)*(F141-Inputs!$B$6))/G141)&lt;0,((((Inputs!$C$71*COS(($B141))+Inputs!$B$71*SIN(($B141)))-Inputs!$B$5)*(E141-Inputs!$B$5)+((Inputs!$C$71*SIN(($B141))-Inputs!$B$71*COS(($B141)))-Inputs!$B$6)*(F141-Inputs!$B$6))/G141)&gt;G141-Inputs!$B$40),999,(ABS((E141-Inputs!$B$5)*((Inputs!$C$71*SIN(($B141))-Inputs!$B$71*COS(($B141)))-Inputs!$B$6)-(F141-Inputs!$B$6)*((Inputs!$C$71*COS(($B141))+Inputs!$B$71*SIN(($B141)))-Inputs!$B$5))/G141)-IF(((((Inputs!$C$71*COS(($B141))+Inputs!$B$71*SIN(($B141)))-Inputs!$B$5)*(E141-Inputs!$B$5)+((Inputs!$C$71*SIN(($B141))-Inputs!$B$71*COS(($B141)))-Inputs!$B$6)*(F141-Inputs!$B$6))/G141)&lt;$B$16,$B$7/2,$B$8/2)-Inputs!$B$39),IF(OR(Inputs!$C$72=0,((((Inputs!$C$72*COS(($B141))+Inputs!$B$72*SIN(($B141)))-Inputs!$B$5)*(E141-Inputs!$B$5)+((Inputs!$C$72*SIN(($B141))-Inputs!$B$72*COS(($B141)))-Inputs!$B$6)*(F141-Inputs!$B$6))/G141)&lt;0,((((Inputs!$C$72*COS(($B141))+Inputs!$B$72*SIN(($B141)))-Inputs!$B$5)*(E141-Inputs!$B$5)+((Inputs!$C$72*SIN(($B141))-Inputs!$B$72*COS(($B141)))-Inputs!$B$6)*(F141-Inputs!$B$6))/G141)&gt;G141-Inputs!$B$40),999,(ABS((E141-Inputs!$B$5)*((Inputs!$C$72*SIN(($B141))-Inputs!$B$72*COS(($B141)))-Inputs!$B$6)-(F141-Inputs!$B$6)*((Inputs!$C$72*COS(($B141))+Inputs!$B$72*SIN(($B141)))-Inputs!$B$5))/G141)-IF(((((Inputs!$C$72*COS(($B141))+Inputs!$B$72*SIN(($B141)))-Inputs!$B$5)*(E141-Inputs!$B$5)+((Inputs!$C$72*SIN(($B141))-Inputs!$B$72*COS(($B141)))-Inputs!$B$6)*(F141-Inputs!$B$6))/G141)&lt;$B$16,$B$7/2,$B$8/2)-Inputs!$B$39))</f>
        <v>49.22923198</v>
      </c>
      <c r="J141" s="76">
        <f>IF(AND(G141&gt;=$B$14,G141&lt;=$B$15,H141&lt;=Inputs!$B$38,I141&gt;=0,$D141=1),1,0)</f>
        <v>0</v>
      </c>
      <c r="K141" s="29">
        <f>Inputs!$B$11*COS((-$B141))-Inputs!$B$7*SIN((-$B141))</f>
        <v>4.285689089</v>
      </c>
      <c r="L141" s="29">
        <f>Inputs!$B$11*SIN((-$B141))+Inputs!$B$7*COS((-$B141))</f>
        <v>-221.742675</v>
      </c>
      <c r="M141" s="29">
        <f>SQRT((K141-Inputs!$B$5)^2+(L141-Inputs!$B$6)^2)</f>
        <v>404.8380806</v>
      </c>
      <c r="N141" s="29">
        <f>MAX(MAX(Inputs!$B$5,(Inputs!$B$5+(K141-Inputs!$B$5)*MIN(1,$B$16/M141)))+$B$7/2,MAX((Inputs!$B$5+(K141-Inputs!$B$5)*MIN(1,$B$16/M141)),K141)+Inputs!$B$41)</f>
        <v>291.8</v>
      </c>
      <c r="O141" s="29">
        <f>MIN(IF(OR(Inputs!$C$68=0,((((Inputs!$C$68*COS((-$B141))+Inputs!$B$68*SIN((-$B141)))-Inputs!$B$5)*(K141-Inputs!$B$5)+((Inputs!$C$68*SIN((-$B141))-Inputs!$B$68*COS((-$B141)))-Inputs!$B$6)*(L141-Inputs!$B$6))/M141)&lt;0,((((Inputs!$C$68*COS((-$B141))+Inputs!$B$68*SIN((-$B141)))-Inputs!$B$5)*(K141-Inputs!$B$5)+((Inputs!$C$68*SIN((-$B141))-Inputs!$B$68*COS((-$B141)))-Inputs!$B$6)*(L141-Inputs!$B$6))/M141)&gt;M141-Inputs!$B$40),999,(ABS((K141-Inputs!$B$5)*((Inputs!$C$68*SIN((-$B141))-Inputs!$B$68*COS((-$B141)))-Inputs!$B$6)-(L141-Inputs!$B$6)*((Inputs!$C$68*COS((-$B141))+Inputs!$B$68*SIN((-$B141)))-Inputs!$B$5))/M141)-IF(((((Inputs!$C$68*COS((-$B141))+Inputs!$B$68*SIN((-$B141)))-Inputs!$B$5)*(K141-Inputs!$B$5)+((Inputs!$C$68*SIN((-$B141))-Inputs!$B$68*COS((-$B141)))-Inputs!$B$6)*(L141-Inputs!$B$6))/M141)&lt;$B$16,$B$7/2,$B$8/2)-Inputs!$B$39),IF(OR(Inputs!$C$69=0,((((Inputs!$C$69*COS((-$B141))+Inputs!$B$69*SIN((-$B141)))-Inputs!$B$5)*(K141-Inputs!$B$5)+((Inputs!$C$69*SIN((-$B141))-Inputs!$B$69*COS((-$B141)))-Inputs!$B$6)*(L141-Inputs!$B$6))/M141)&lt;0,((((Inputs!$C$69*COS((-$B141))+Inputs!$B$69*SIN((-$B141)))-Inputs!$B$5)*(K141-Inputs!$B$5)+((Inputs!$C$69*SIN((-$B141))-Inputs!$B$69*COS((-$B141)))-Inputs!$B$6)*(L141-Inputs!$B$6))/M141)&gt;M141-Inputs!$B$40),999,(ABS((K141-Inputs!$B$5)*((Inputs!$C$69*SIN((-$B141))-Inputs!$B$69*COS((-$B141)))-Inputs!$B$6)-(L141-Inputs!$B$6)*((Inputs!$C$69*COS((-$B141))+Inputs!$B$69*SIN((-$B141)))-Inputs!$B$5))/M141)-IF(((((Inputs!$C$69*COS((-$B141))+Inputs!$B$69*SIN((-$B141)))-Inputs!$B$5)*(K141-Inputs!$B$5)+((Inputs!$C$69*SIN((-$B141))-Inputs!$B$69*COS((-$B141)))-Inputs!$B$6)*(L141-Inputs!$B$6))/M141)&lt;$B$16,$B$7/2,$B$8/2)-Inputs!$B$39),IF(OR(Inputs!$C$70=0,((((Inputs!$C$70*COS((-$B141))+Inputs!$B$70*SIN((-$B141)))-Inputs!$B$5)*(K141-Inputs!$B$5)+((Inputs!$C$70*SIN((-$B141))-Inputs!$B$70*COS((-$B141)))-Inputs!$B$6)*(L141-Inputs!$B$6))/M141)&lt;0,((((Inputs!$C$70*COS((-$B141))+Inputs!$B$70*SIN((-$B141)))-Inputs!$B$5)*(K141-Inputs!$B$5)+((Inputs!$C$70*SIN((-$B141))-Inputs!$B$70*COS((-$B141)))-Inputs!$B$6)*(L141-Inputs!$B$6))/M141)&gt;M141-Inputs!$B$40),999,(ABS((K141-Inputs!$B$5)*((Inputs!$C$70*SIN((-$B141))-Inputs!$B$70*COS((-$B141)))-Inputs!$B$6)-(L141-Inputs!$B$6)*((Inputs!$C$70*COS((-$B141))+Inputs!$B$70*SIN((-$B141)))-Inputs!$B$5))/M141)-IF(((((Inputs!$C$70*COS((-$B141))+Inputs!$B$70*SIN((-$B141)))-Inputs!$B$5)*(K141-Inputs!$B$5)+((Inputs!$C$70*SIN((-$B141))-Inputs!$B$70*COS((-$B141)))-Inputs!$B$6)*(L141-Inputs!$B$6))/M141)&lt;$B$16,$B$7/2,$B$8/2)-Inputs!$B$39),IF(OR(Inputs!$C$71=0,((((Inputs!$C$71*COS((-$B141))+Inputs!$B$71*SIN((-$B141)))-Inputs!$B$5)*(K141-Inputs!$B$5)+((Inputs!$C$71*SIN((-$B141))-Inputs!$B$71*COS((-$B141)))-Inputs!$B$6)*(L141-Inputs!$B$6))/M141)&lt;0,((((Inputs!$C$71*COS((-$B141))+Inputs!$B$71*SIN((-$B141)))-Inputs!$B$5)*(K141-Inputs!$B$5)+((Inputs!$C$71*SIN((-$B141))-Inputs!$B$71*COS((-$B141)))-Inputs!$B$6)*(L141-Inputs!$B$6))/M141)&gt;M141-Inputs!$B$40),999,(ABS((K141-Inputs!$B$5)*((Inputs!$C$71*SIN((-$B141))-Inputs!$B$71*COS((-$B141)))-Inputs!$B$6)-(L141-Inputs!$B$6)*((Inputs!$C$71*COS((-$B141))+Inputs!$B$71*SIN((-$B141)))-Inputs!$B$5))/M141)-IF(((((Inputs!$C$71*COS((-$B141))+Inputs!$B$71*SIN((-$B141)))-Inputs!$B$5)*(K141-Inputs!$B$5)+((Inputs!$C$71*SIN((-$B141))-Inputs!$B$71*COS((-$B141)))-Inputs!$B$6)*(L141-Inputs!$B$6))/M141)&lt;$B$16,$B$7/2,$B$8/2)-Inputs!$B$39),IF(OR(Inputs!$C$72=0,((((Inputs!$C$72*COS((-$B141))+Inputs!$B$72*SIN((-$B141)))-Inputs!$B$5)*(K141-Inputs!$B$5)+((Inputs!$C$72*SIN((-$B141))-Inputs!$B$72*COS((-$B141)))-Inputs!$B$6)*(L141-Inputs!$B$6))/M141)&lt;0,((((Inputs!$C$72*COS((-$B141))+Inputs!$B$72*SIN((-$B141)))-Inputs!$B$5)*(K141-Inputs!$B$5)+((Inputs!$C$72*SIN((-$B141))-Inputs!$B$72*COS((-$B141)))-Inputs!$B$6)*(L141-Inputs!$B$6))/M141)&gt;M141-Inputs!$B$40),999,(ABS((K141-Inputs!$B$5)*((Inputs!$C$72*SIN((-$B141))-Inputs!$B$72*COS((-$B141)))-Inputs!$B$6)-(L141-Inputs!$B$6)*((Inputs!$C$72*COS((-$B141))+Inputs!$B$72*SIN((-$B141)))-Inputs!$B$5))/M141)-IF(((((Inputs!$C$72*COS((-$B141))+Inputs!$B$72*SIN((-$B141)))-Inputs!$B$5)*(K141-Inputs!$B$5)+((Inputs!$C$72*SIN((-$B141))-Inputs!$B$72*COS((-$B141)))-Inputs!$B$6)*(L141-Inputs!$B$6))/M141)&lt;$B$16,$B$7/2,$B$8/2)-Inputs!$B$39))</f>
        <v>19.89626343</v>
      </c>
      <c r="P141" s="76">
        <f>IF(AND(M141&gt;=$B$14,M141&lt;=$B$15,N141&lt;=Inputs!$B$38,O141&gt;=0,$D141=1),1,0)</f>
        <v>0</v>
      </c>
    </row>
    <row r="142" ht="15.75" customHeight="1">
      <c r="A142" s="23">
        <v>24.75</v>
      </c>
      <c r="B142" s="40">
        <f t="shared" si="4"/>
        <v>0.4319689899</v>
      </c>
      <c r="C142" s="29">
        <f>MAX(Inputs!$C$68*COS($B142)+Inputs!$B$68*ABS(SIN($B142)),Inputs!$C$69*COS($B142)+Inputs!$B$69*ABS(SIN($B142)),Inputs!$C$70*COS($B142)+Inputs!$B$70*ABS(SIN($B142)),Inputs!$C$71*COS($B142)+Inputs!$B$71*ABS(SIN($B142)),Inputs!$C$72*COS($B142)+Inputs!$B$72*ABS(SIN($B142)))</f>
        <v>238.6537376</v>
      </c>
      <c r="D142" s="108">
        <f>IF(C142&lt;=Inputs!$B$38,1,0)</f>
        <v>1</v>
      </c>
      <c r="E142" s="29">
        <f>Inputs!$B$11*COS(($B142))-Inputs!$B$7*SIN(($B142))</f>
        <v>170.7820114</v>
      </c>
      <c r="F142" s="29">
        <f>Inputs!$B$11*SIN(($B142))+Inputs!$B$7*COS(($B142))</f>
        <v>-141.4980056</v>
      </c>
      <c r="G142" s="29">
        <f>SQRT((E142-Inputs!$B$5)^2+(F142-Inputs!$B$6)^2)</f>
        <v>254.158959</v>
      </c>
      <c r="H142" s="29">
        <f>MAX(MAX(Inputs!$B$5,(Inputs!$B$5+(E142-Inputs!$B$5)*MIN(1,$B$16/G142)))+$B$7/2,MAX((Inputs!$B$5+(E142-Inputs!$B$5)*MIN(1,$B$16/G142)),E142)+Inputs!$B$41)</f>
        <v>291.8</v>
      </c>
      <c r="I142" s="29">
        <f>MIN(IF(OR(Inputs!$C$68=0,((((Inputs!$C$68*COS(($B142))+Inputs!$B$68*SIN(($B142)))-Inputs!$B$5)*(E142-Inputs!$B$5)+((Inputs!$C$68*SIN(($B142))-Inputs!$B$68*COS(($B142)))-Inputs!$B$6)*(F142-Inputs!$B$6))/G142)&lt;0,((((Inputs!$C$68*COS(($B142))+Inputs!$B$68*SIN(($B142)))-Inputs!$B$5)*(E142-Inputs!$B$5)+((Inputs!$C$68*SIN(($B142))-Inputs!$B$68*COS(($B142)))-Inputs!$B$6)*(F142-Inputs!$B$6))/G142)&gt;G142-Inputs!$B$40),999,(ABS((E142-Inputs!$B$5)*((Inputs!$C$68*SIN(($B142))-Inputs!$B$68*COS(($B142)))-Inputs!$B$6)-(F142-Inputs!$B$6)*((Inputs!$C$68*COS(($B142))+Inputs!$B$68*SIN(($B142)))-Inputs!$B$5))/G142)-IF(((((Inputs!$C$68*COS(($B142))+Inputs!$B$68*SIN(($B142)))-Inputs!$B$5)*(E142-Inputs!$B$5)+((Inputs!$C$68*SIN(($B142))-Inputs!$B$68*COS(($B142)))-Inputs!$B$6)*(F142-Inputs!$B$6))/G142)&lt;$B$16,$B$7/2,$B$8/2)-Inputs!$B$39),IF(OR(Inputs!$C$69=0,((((Inputs!$C$69*COS(($B142))+Inputs!$B$69*SIN(($B142)))-Inputs!$B$5)*(E142-Inputs!$B$5)+((Inputs!$C$69*SIN(($B142))-Inputs!$B$69*COS(($B142)))-Inputs!$B$6)*(F142-Inputs!$B$6))/G142)&lt;0,((((Inputs!$C$69*COS(($B142))+Inputs!$B$69*SIN(($B142)))-Inputs!$B$5)*(E142-Inputs!$B$5)+((Inputs!$C$69*SIN(($B142))-Inputs!$B$69*COS(($B142)))-Inputs!$B$6)*(F142-Inputs!$B$6))/G142)&gt;G142-Inputs!$B$40),999,(ABS((E142-Inputs!$B$5)*((Inputs!$C$69*SIN(($B142))-Inputs!$B$69*COS(($B142)))-Inputs!$B$6)-(F142-Inputs!$B$6)*((Inputs!$C$69*COS(($B142))+Inputs!$B$69*SIN(($B142)))-Inputs!$B$5))/G142)-IF(((((Inputs!$C$69*COS(($B142))+Inputs!$B$69*SIN(($B142)))-Inputs!$B$5)*(E142-Inputs!$B$5)+((Inputs!$C$69*SIN(($B142))-Inputs!$B$69*COS(($B142)))-Inputs!$B$6)*(F142-Inputs!$B$6))/G142)&lt;$B$16,$B$7/2,$B$8/2)-Inputs!$B$39),IF(OR(Inputs!$C$70=0,((((Inputs!$C$70*COS(($B142))+Inputs!$B$70*SIN(($B142)))-Inputs!$B$5)*(E142-Inputs!$B$5)+((Inputs!$C$70*SIN(($B142))-Inputs!$B$70*COS(($B142)))-Inputs!$B$6)*(F142-Inputs!$B$6))/G142)&lt;0,((((Inputs!$C$70*COS(($B142))+Inputs!$B$70*SIN(($B142)))-Inputs!$B$5)*(E142-Inputs!$B$5)+((Inputs!$C$70*SIN(($B142))-Inputs!$B$70*COS(($B142)))-Inputs!$B$6)*(F142-Inputs!$B$6))/G142)&gt;G142-Inputs!$B$40),999,(ABS((E142-Inputs!$B$5)*((Inputs!$C$70*SIN(($B142))-Inputs!$B$70*COS(($B142)))-Inputs!$B$6)-(F142-Inputs!$B$6)*((Inputs!$C$70*COS(($B142))+Inputs!$B$70*SIN(($B142)))-Inputs!$B$5))/G142)-IF(((((Inputs!$C$70*COS(($B142))+Inputs!$B$70*SIN(($B142)))-Inputs!$B$5)*(E142-Inputs!$B$5)+((Inputs!$C$70*SIN(($B142))-Inputs!$B$70*COS(($B142)))-Inputs!$B$6)*(F142-Inputs!$B$6))/G142)&lt;$B$16,$B$7/2,$B$8/2)-Inputs!$B$39),IF(OR(Inputs!$C$71=0,((((Inputs!$C$71*COS(($B142))+Inputs!$B$71*SIN(($B142)))-Inputs!$B$5)*(E142-Inputs!$B$5)+((Inputs!$C$71*SIN(($B142))-Inputs!$B$71*COS(($B142)))-Inputs!$B$6)*(F142-Inputs!$B$6))/G142)&lt;0,((((Inputs!$C$71*COS(($B142))+Inputs!$B$71*SIN(($B142)))-Inputs!$B$5)*(E142-Inputs!$B$5)+((Inputs!$C$71*SIN(($B142))-Inputs!$B$71*COS(($B142)))-Inputs!$B$6)*(F142-Inputs!$B$6))/G142)&gt;G142-Inputs!$B$40),999,(ABS((E142-Inputs!$B$5)*((Inputs!$C$71*SIN(($B142))-Inputs!$B$71*COS(($B142)))-Inputs!$B$6)-(F142-Inputs!$B$6)*((Inputs!$C$71*COS(($B142))+Inputs!$B$71*SIN(($B142)))-Inputs!$B$5))/G142)-IF(((((Inputs!$C$71*COS(($B142))+Inputs!$B$71*SIN(($B142)))-Inputs!$B$5)*(E142-Inputs!$B$5)+((Inputs!$C$71*SIN(($B142))-Inputs!$B$71*COS(($B142)))-Inputs!$B$6)*(F142-Inputs!$B$6))/G142)&lt;$B$16,$B$7/2,$B$8/2)-Inputs!$B$39),IF(OR(Inputs!$C$72=0,((((Inputs!$C$72*COS(($B142))+Inputs!$B$72*SIN(($B142)))-Inputs!$B$5)*(E142-Inputs!$B$5)+((Inputs!$C$72*SIN(($B142))-Inputs!$B$72*COS(($B142)))-Inputs!$B$6)*(F142-Inputs!$B$6))/G142)&lt;0,((((Inputs!$C$72*COS(($B142))+Inputs!$B$72*SIN(($B142)))-Inputs!$B$5)*(E142-Inputs!$B$5)+((Inputs!$C$72*SIN(($B142))-Inputs!$B$72*COS(($B142)))-Inputs!$B$6)*(F142-Inputs!$B$6))/G142)&gt;G142-Inputs!$B$40),999,(ABS((E142-Inputs!$B$5)*((Inputs!$C$72*SIN(($B142))-Inputs!$B$72*COS(($B142)))-Inputs!$B$6)-(F142-Inputs!$B$6)*((Inputs!$C$72*COS(($B142))+Inputs!$B$72*SIN(($B142)))-Inputs!$B$5))/G142)-IF(((((Inputs!$C$72*COS(($B142))+Inputs!$B$72*SIN(($B142)))-Inputs!$B$5)*(E142-Inputs!$B$5)+((Inputs!$C$72*SIN(($B142))-Inputs!$B$72*COS(($B142)))-Inputs!$B$6)*(F142-Inputs!$B$6))/G142)&lt;$B$16,$B$7/2,$B$8/2)-Inputs!$B$39))</f>
        <v>49.39515065</v>
      </c>
      <c r="J142" s="76">
        <f>IF(AND(G142&gt;=$B$14,G142&lt;=$B$15,H142&lt;=Inputs!$B$38,I142&gt;=0,$D142=1),1,0)</f>
        <v>0</v>
      </c>
      <c r="K142" s="29">
        <f>Inputs!$B$11*COS((-$B142))-Inputs!$B$7*SIN((-$B142))</f>
        <v>3.31811642</v>
      </c>
      <c r="L142" s="29">
        <f>Inputs!$B$11*SIN((-$B142))+Inputs!$B$7*COS((-$B142))</f>
        <v>-221.7592639</v>
      </c>
      <c r="M142" s="29">
        <f>SQRT((K142-Inputs!$B$5)^2+(L142-Inputs!$B$6)^2)</f>
        <v>405.4392379</v>
      </c>
      <c r="N142" s="29">
        <f>MAX(MAX(Inputs!$B$5,(Inputs!$B$5+(K142-Inputs!$B$5)*MIN(1,$B$16/M142)))+$B$7/2,MAX((Inputs!$B$5+(K142-Inputs!$B$5)*MIN(1,$B$16/M142)),K142)+Inputs!$B$41)</f>
        <v>291.8</v>
      </c>
      <c r="O142" s="29">
        <f>MIN(IF(OR(Inputs!$C$68=0,((((Inputs!$C$68*COS((-$B142))+Inputs!$B$68*SIN((-$B142)))-Inputs!$B$5)*(K142-Inputs!$B$5)+((Inputs!$C$68*SIN((-$B142))-Inputs!$B$68*COS((-$B142)))-Inputs!$B$6)*(L142-Inputs!$B$6))/M142)&lt;0,((((Inputs!$C$68*COS((-$B142))+Inputs!$B$68*SIN((-$B142)))-Inputs!$B$5)*(K142-Inputs!$B$5)+((Inputs!$C$68*SIN((-$B142))-Inputs!$B$68*COS((-$B142)))-Inputs!$B$6)*(L142-Inputs!$B$6))/M142)&gt;M142-Inputs!$B$40),999,(ABS((K142-Inputs!$B$5)*((Inputs!$C$68*SIN((-$B142))-Inputs!$B$68*COS((-$B142)))-Inputs!$B$6)-(L142-Inputs!$B$6)*((Inputs!$C$68*COS((-$B142))+Inputs!$B$68*SIN((-$B142)))-Inputs!$B$5))/M142)-IF(((((Inputs!$C$68*COS((-$B142))+Inputs!$B$68*SIN((-$B142)))-Inputs!$B$5)*(K142-Inputs!$B$5)+((Inputs!$C$68*SIN((-$B142))-Inputs!$B$68*COS((-$B142)))-Inputs!$B$6)*(L142-Inputs!$B$6))/M142)&lt;$B$16,$B$7/2,$B$8/2)-Inputs!$B$39),IF(OR(Inputs!$C$69=0,((((Inputs!$C$69*COS((-$B142))+Inputs!$B$69*SIN((-$B142)))-Inputs!$B$5)*(K142-Inputs!$B$5)+((Inputs!$C$69*SIN((-$B142))-Inputs!$B$69*COS((-$B142)))-Inputs!$B$6)*(L142-Inputs!$B$6))/M142)&lt;0,((((Inputs!$C$69*COS((-$B142))+Inputs!$B$69*SIN((-$B142)))-Inputs!$B$5)*(K142-Inputs!$B$5)+((Inputs!$C$69*SIN((-$B142))-Inputs!$B$69*COS((-$B142)))-Inputs!$B$6)*(L142-Inputs!$B$6))/M142)&gt;M142-Inputs!$B$40),999,(ABS((K142-Inputs!$B$5)*((Inputs!$C$69*SIN((-$B142))-Inputs!$B$69*COS((-$B142)))-Inputs!$B$6)-(L142-Inputs!$B$6)*((Inputs!$C$69*COS((-$B142))+Inputs!$B$69*SIN((-$B142)))-Inputs!$B$5))/M142)-IF(((((Inputs!$C$69*COS((-$B142))+Inputs!$B$69*SIN((-$B142)))-Inputs!$B$5)*(K142-Inputs!$B$5)+((Inputs!$C$69*SIN((-$B142))-Inputs!$B$69*COS((-$B142)))-Inputs!$B$6)*(L142-Inputs!$B$6))/M142)&lt;$B$16,$B$7/2,$B$8/2)-Inputs!$B$39),IF(OR(Inputs!$C$70=0,((((Inputs!$C$70*COS((-$B142))+Inputs!$B$70*SIN((-$B142)))-Inputs!$B$5)*(K142-Inputs!$B$5)+((Inputs!$C$70*SIN((-$B142))-Inputs!$B$70*COS((-$B142)))-Inputs!$B$6)*(L142-Inputs!$B$6))/M142)&lt;0,((((Inputs!$C$70*COS((-$B142))+Inputs!$B$70*SIN((-$B142)))-Inputs!$B$5)*(K142-Inputs!$B$5)+((Inputs!$C$70*SIN((-$B142))-Inputs!$B$70*COS((-$B142)))-Inputs!$B$6)*(L142-Inputs!$B$6))/M142)&gt;M142-Inputs!$B$40),999,(ABS((K142-Inputs!$B$5)*((Inputs!$C$70*SIN((-$B142))-Inputs!$B$70*COS((-$B142)))-Inputs!$B$6)-(L142-Inputs!$B$6)*((Inputs!$C$70*COS((-$B142))+Inputs!$B$70*SIN((-$B142)))-Inputs!$B$5))/M142)-IF(((((Inputs!$C$70*COS((-$B142))+Inputs!$B$70*SIN((-$B142)))-Inputs!$B$5)*(K142-Inputs!$B$5)+((Inputs!$C$70*SIN((-$B142))-Inputs!$B$70*COS((-$B142)))-Inputs!$B$6)*(L142-Inputs!$B$6))/M142)&lt;$B$16,$B$7/2,$B$8/2)-Inputs!$B$39),IF(OR(Inputs!$C$71=0,((((Inputs!$C$71*COS((-$B142))+Inputs!$B$71*SIN((-$B142)))-Inputs!$B$5)*(K142-Inputs!$B$5)+((Inputs!$C$71*SIN((-$B142))-Inputs!$B$71*COS((-$B142)))-Inputs!$B$6)*(L142-Inputs!$B$6))/M142)&lt;0,((((Inputs!$C$71*COS((-$B142))+Inputs!$B$71*SIN((-$B142)))-Inputs!$B$5)*(K142-Inputs!$B$5)+((Inputs!$C$71*SIN((-$B142))-Inputs!$B$71*COS((-$B142)))-Inputs!$B$6)*(L142-Inputs!$B$6))/M142)&gt;M142-Inputs!$B$40),999,(ABS((K142-Inputs!$B$5)*((Inputs!$C$71*SIN((-$B142))-Inputs!$B$71*COS((-$B142)))-Inputs!$B$6)-(L142-Inputs!$B$6)*((Inputs!$C$71*COS((-$B142))+Inputs!$B$71*SIN((-$B142)))-Inputs!$B$5))/M142)-IF(((((Inputs!$C$71*COS((-$B142))+Inputs!$B$71*SIN((-$B142)))-Inputs!$B$5)*(K142-Inputs!$B$5)+((Inputs!$C$71*SIN((-$B142))-Inputs!$B$71*COS((-$B142)))-Inputs!$B$6)*(L142-Inputs!$B$6))/M142)&lt;$B$16,$B$7/2,$B$8/2)-Inputs!$B$39),IF(OR(Inputs!$C$72=0,((((Inputs!$C$72*COS((-$B142))+Inputs!$B$72*SIN((-$B142)))-Inputs!$B$5)*(K142-Inputs!$B$5)+((Inputs!$C$72*SIN((-$B142))-Inputs!$B$72*COS((-$B142)))-Inputs!$B$6)*(L142-Inputs!$B$6))/M142)&lt;0,((((Inputs!$C$72*COS((-$B142))+Inputs!$B$72*SIN((-$B142)))-Inputs!$B$5)*(K142-Inputs!$B$5)+((Inputs!$C$72*SIN((-$B142))-Inputs!$B$72*COS((-$B142)))-Inputs!$B$6)*(L142-Inputs!$B$6))/M142)&gt;M142-Inputs!$B$40),999,(ABS((K142-Inputs!$B$5)*((Inputs!$C$72*SIN((-$B142))-Inputs!$B$72*COS((-$B142)))-Inputs!$B$6)-(L142-Inputs!$B$6)*((Inputs!$C$72*COS((-$B142))+Inputs!$B$72*SIN((-$B142)))-Inputs!$B$5))/M142)-IF(((((Inputs!$C$72*COS((-$B142))+Inputs!$B$72*SIN((-$B142)))-Inputs!$B$5)*(K142-Inputs!$B$5)+((Inputs!$C$72*SIN((-$B142))-Inputs!$B$72*COS((-$B142)))-Inputs!$B$6)*(L142-Inputs!$B$6))/M142)&lt;$B$16,$B$7/2,$B$8/2)-Inputs!$B$39))</f>
        <v>19.55995469</v>
      </c>
      <c r="P142" s="76">
        <f>IF(AND(M142&gt;=$B$14,M142&lt;=$B$15,N142&lt;=Inputs!$B$38,O142&gt;=0,$D142=1),1,0)</f>
        <v>0</v>
      </c>
    </row>
    <row r="143" ht="15.75" customHeight="1">
      <c r="A143" s="23">
        <v>25.0</v>
      </c>
      <c r="B143" s="40">
        <f t="shared" si="4"/>
        <v>0.436332313</v>
      </c>
      <c r="C143" s="29">
        <f>MAX(Inputs!$C$68*COS($B143)+Inputs!$B$68*ABS(SIN($B143)),Inputs!$C$69*COS($B143)+Inputs!$B$69*ABS(SIN($B143)),Inputs!$C$70*COS($B143)+Inputs!$B$70*ABS(SIN($B143)),Inputs!$C$71*COS($B143)+Inputs!$B$71*ABS(SIN($B143)),Inputs!$C$72*COS($B143)+Inputs!$B$72*ABS(SIN($B143)))</f>
        <v>240.0869185</v>
      </c>
      <c r="D143" s="108">
        <f>IF(C143&lt;=Inputs!$B$38,1,0)</f>
        <v>1</v>
      </c>
      <c r="E143" s="29">
        <f>Inputs!$B$11*COS(($B143))-Inputs!$B$7*SIN(($B143))</f>
        <v>171.3977853</v>
      </c>
      <c r="F143" s="29">
        <f>Inputs!$B$11*SIN(($B143))+Inputs!$B$7*COS(($B143))</f>
        <v>-140.7514839</v>
      </c>
      <c r="G143" s="29">
        <f>SQRT((E143-Inputs!$B$5)^2+(F143-Inputs!$B$6)^2)</f>
        <v>253.257942</v>
      </c>
      <c r="H143" s="29">
        <f>MAX(MAX(Inputs!$B$5,(Inputs!$B$5+(E143-Inputs!$B$5)*MIN(1,$B$16/G143)))+$B$7/2,MAX((Inputs!$B$5+(E143-Inputs!$B$5)*MIN(1,$B$16/G143)),E143)+Inputs!$B$41)</f>
        <v>291.8</v>
      </c>
      <c r="I143" s="29">
        <f>MIN(IF(OR(Inputs!$C$68=0,((((Inputs!$C$68*COS(($B143))+Inputs!$B$68*SIN(($B143)))-Inputs!$B$5)*(E143-Inputs!$B$5)+((Inputs!$C$68*SIN(($B143))-Inputs!$B$68*COS(($B143)))-Inputs!$B$6)*(F143-Inputs!$B$6))/G143)&lt;0,((((Inputs!$C$68*COS(($B143))+Inputs!$B$68*SIN(($B143)))-Inputs!$B$5)*(E143-Inputs!$B$5)+((Inputs!$C$68*SIN(($B143))-Inputs!$B$68*COS(($B143)))-Inputs!$B$6)*(F143-Inputs!$B$6))/G143)&gt;G143-Inputs!$B$40),999,(ABS((E143-Inputs!$B$5)*((Inputs!$C$68*SIN(($B143))-Inputs!$B$68*COS(($B143)))-Inputs!$B$6)-(F143-Inputs!$B$6)*((Inputs!$C$68*COS(($B143))+Inputs!$B$68*SIN(($B143)))-Inputs!$B$5))/G143)-IF(((((Inputs!$C$68*COS(($B143))+Inputs!$B$68*SIN(($B143)))-Inputs!$B$5)*(E143-Inputs!$B$5)+((Inputs!$C$68*SIN(($B143))-Inputs!$B$68*COS(($B143)))-Inputs!$B$6)*(F143-Inputs!$B$6))/G143)&lt;$B$16,$B$7/2,$B$8/2)-Inputs!$B$39),IF(OR(Inputs!$C$69=0,((((Inputs!$C$69*COS(($B143))+Inputs!$B$69*SIN(($B143)))-Inputs!$B$5)*(E143-Inputs!$B$5)+((Inputs!$C$69*SIN(($B143))-Inputs!$B$69*COS(($B143)))-Inputs!$B$6)*(F143-Inputs!$B$6))/G143)&lt;0,((((Inputs!$C$69*COS(($B143))+Inputs!$B$69*SIN(($B143)))-Inputs!$B$5)*(E143-Inputs!$B$5)+((Inputs!$C$69*SIN(($B143))-Inputs!$B$69*COS(($B143)))-Inputs!$B$6)*(F143-Inputs!$B$6))/G143)&gt;G143-Inputs!$B$40),999,(ABS((E143-Inputs!$B$5)*((Inputs!$C$69*SIN(($B143))-Inputs!$B$69*COS(($B143)))-Inputs!$B$6)-(F143-Inputs!$B$6)*((Inputs!$C$69*COS(($B143))+Inputs!$B$69*SIN(($B143)))-Inputs!$B$5))/G143)-IF(((((Inputs!$C$69*COS(($B143))+Inputs!$B$69*SIN(($B143)))-Inputs!$B$5)*(E143-Inputs!$B$5)+((Inputs!$C$69*SIN(($B143))-Inputs!$B$69*COS(($B143)))-Inputs!$B$6)*(F143-Inputs!$B$6))/G143)&lt;$B$16,$B$7/2,$B$8/2)-Inputs!$B$39),IF(OR(Inputs!$C$70=0,((((Inputs!$C$70*COS(($B143))+Inputs!$B$70*SIN(($B143)))-Inputs!$B$5)*(E143-Inputs!$B$5)+((Inputs!$C$70*SIN(($B143))-Inputs!$B$70*COS(($B143)))-Inputs!$B$6)*(F143-Inputs!$B$6))/G143)&lt;0,((((Inputs!$C$70*COS(($B143))+Inputs!$B$70*SIN(($B143)))-Inputs!$B$5)*(E143-Inputs!$B$5)+((Inputs!$C$70*SIN(($B143))-Inputs!$B$70*COS(($B143)))-Inputs!$B$6)*(F143-Inputs!$B$6))/G143)&gt;G143-Inputs!$B$40),999,(ABS((E143-Inputs!$B$5)*((Inputs!$C$70*SIN(($B143))-Inputs!$B$70*COS(($B143)))-Inputs!$B$6)-(F143-Inputs!$B$6)*((Inputs!$C$70*COS(($B143))+Inputs!$B$70*SIN(($B143)))-Inputs!$B$5))/G143)-IF(((((Inputs!$C$70*COS(($B143))+Inputs!$B$70*SIN(($B143)))-Inputs!$B$5)*(E143-Inputs!$B$5)+((Inputs!$C$70*SIN(($B143))-Inputs!$B$70*COS(($B143)))-Inputs!$B$6)*(F143-Inputs!$B$6))/G143)&lt;$B$16,$B$7/2,$B$8/2)-Inputs!$B$39),IF(OR(Inputs!$C$71=0,((((Inputs!$C$71*COS(($B143))+Inputs!$B$71*SIN(($B143)))-Inputs!$B$5)*(E143-Inputs!$B$5)+((Inputs!$C$71*SIN(($B143))-Inputs!$B$71*COS(($B143)))-Inputs!$B$6)*(F143-Inputs!$B$6))/G143)&lt;0,((((Inputs!$C$71*COS(($B143))+Inputs!$B$71*SIN(($B143)))-Inputs!$B$5)*(E143-Inputs!$B$5)+((Inputs!$C$71*SIN(($B143))-Inputs!$B$71*COS(($B143)))-Inputs!$B$6)*(F143-Inputs!$B$6))/G143)&gt;G143-Inputs!$B$40),999,(ABS((E143-Inputs!$B$5)*((Inputs!$C$71*SIN(($B143))-Inputs!$B$71*COS(($B143)))-Inputs!$B$6)-(F143-Inputs!$B$6)*((Inputs!$C$71*COS(($B143))+Inputs!$B$71*SIN(($B143)))-Inputs!$B$5))/G143)-IF(((((Inputs!$C$71*COS(($B143))+Inputs!$B$71*SIN(($B143)))-Inputs!$B$5)*(E143-Inputs!$B$5)+((Inputs!$C$71*SIN(($B143))-Inputs!$B$71*COS(($B143)))-Inputs!$B$6)*(F143-Inputs!$B$6))/G143)&lt;$B$16,$B$7/2,$B$8/2)-Inputs!$B$39),IF(OR(Inputs!$C$72=0,((((Inputs!$C$72*COS(($B143))+Inputs!$B$72*SIN(($B143)))-Inputs!$B$5)*(E143-Inputs!$B$5)+((Inputs!$C$72*SIN(($B143))-Inputs!$B$72*COS(($B143)))-Inputs!$B$6)*(F143-Inputs!$B$6))/G143)&lt;0,((((Inputs!$C$72*COS(($B143))+Inputs!$B$72*SIN(($B143)))-Inputs!$B$5)*(E143-Inputs!$B$5)+((Inputs!$C$72*SIN(($B143))-Inputs!$B$72*COS(($B143)))-Inputs!$B$6)*(F143-Inputs!$B$6))/G143)&gt;G143-Inputs!$B$40),999,(ABS((E143-Inputs!$B$5)*((Inputs!$C$72*SIN(($B143))-Inputs!$B$72*COS(($B143)))-Inputs!$B$6)-(F143-Inputs!$B$6)*((Inputs!$C$72*COS(($B143))+Inputs!$B$72*SIN(($B143)))-Inputs!$B$5))/G143)-IF(((((Inputs!$C$72*COS(($B143))+Inputs!$B$72*SIN(($B143)))-Inputs!$B$5)*(E143-Inputs!$B$5)+((Inputs!$C$72*SIN(($B143))-Inputs!$B$72*COS(($B143)))-Inputs!$B$6)*(F143-Inputs!$B$6))/G143)&lt;$B$16,$B$7/2,$B$8/2)-Inputs!$B$39))</f>
        <v>49.56055029</v>
      </c>
      <c r="J143" s="76">
        <f>IF(AND(G143&gt;=$B$14,G143&lt;=$B$15,H143&lt;=Inputs!$B$38,I143&gt;=0,$D143=1),1,0)</f>
        <v>0</v>
      </c>
      <c r="K143" s="29">
        <f>Inputs!$B$11*COS((-$B143))-Inputs!$B$7*SIN((-$B143))</f>
        <v>2.350480578</v>
      </c>
      <c r="L143" s="29">
        <f>Inputs!$B$11*SIN((-$B143))+Inputs!$B$7*COS((-$B143))</f>
        <v>-221.7716309</v>
      </c>
      <c r="M143" s="29">
        <f>SQRT((K143-Inputs!$B$5)^2+(L143-Inputs!$B$6)^2)</f>
        <v>406.0385042</v>
      </c>
      <c r="N143" s="29">
        <f>MAX(MAX(Inputs!$B$5,(Inputs!$B$5+(K143-Inputs!$B$5)*MIN(1,$B$16/M143)))+$B$7/2,MAX((Inputs!$B$5+(K143-Inputs!$B$5)*MIN(1,$B$16/M143)),K143)+Inputs!$B$41)</f>
        <v>291.8</v>
      </c>
      <c r="O143" s="29">
        <f>MIN(IF(OR(Inputs!$C$68=0,((((Inputs!$C$68*COS((-$B143))+Inputs!$B$68*SIN((-$B143)))-Inputs!$B$5)*(K143-Inputs!$B$5)+((Inputs!$C$68*SIN((-$B143))-Inputs!$B$68*COS((-$B143)))-Inputs!$B$6)*(L143-Inputs!$B$6))/M143)&lt;0,((((Inputs!$C$68*COS((-$B143))+Inputs!$B$68*SIN((-$B143)))-Inputs!$B$5)*(K143-Inputs!$B$5)+((Inputs!$C$68*SIN((-$B143))-Inputs!$B$68*COS((-$B143)))-Inputs!$B$6)*(L143-Inputs!$B$6))/M143)&gt;M143-Inputs!$B$40),999,(ABS((K143-Inputs!$B$5)*((Inputs!$C$68*SIN((-$B143))-Inputs!$B$68*COS((-$B143)))-Inputs!$B$6)-(L143-Inputs!$B$6)*((Inputs!$C$68*COS((-$B143))+Inputs!$B$68*SIN((-$B143)))-Inputs!$B$5))/M143)-IF(((((Inputs!$C$68*COS((-$B143))+Inputs!$B$68*SIN((-$B143)))-Inputs!$B$5)*(K143-Inputs!$B$5)+((Inputs!$C$68*SIN((-$B143))-Inputs!$B$68*COS((-$B143)))-Inputs!$B$6)*(L143-Inputs!$B$6))/M143)&lt;$B$16,$B$7/2,$B$8/2)-Inputs!$B$39),IF(OR(Inputs!$C$69=0,((((Inputs!$C$69*COS((-$B143))+Inputs!$B$69*SIN((-$B143)))-Inputs!$B$5)*(K143-Inputs!$B$5)+((Inputs!$C$69*SIN((-$B143))-Inputs!$B$69*COS((-$B143)))-Inputs!$B$6)*(L143-Inputs!$B$6))/M143)&lt;0,((((Inputs!$C$69*COS((-$B143))+Inputs!$B$69*SIN((-$B143)))-Inputs!$B$5)*(K143-Inputs!$B$5)+((Inputs!$C$69*SIN((-$B143))-Inputs!$B$69*COS((-$B143)))-Inputs!$B$6)*(L143-Inputs!$B$6))/M143)&gt;M143-Inputs!$B$40),999,(ABS((K143-Inputs!$B$5)*((Inputs!$C$69*SIN((-$B143))-Inputs!$B$69*COS((-$B143)))-Inputs!$B$6)-(L143-Inputs!$B$6)*((Inputs!$C$69*COS((-$B143))+Inputs!$B$69*SIN((-$B143)))-Inputs!$B$5))/M143)-IF(((((Inputs!$C$69*COS((-$B143))+Inputs!$B$69*SIN((-$B143)))-Inputs!$B$5)*(K143-Inputs!$B$5)+((Inputs!$C$69*SIN((-$B143))-Inputs!$B$69*COS((-$B143)))-Inputs!$B$6)*(L143-Inputs!$B$6))/M143)&lt;$B$16,$B$7/2,$B$8/2)-Inputs!$B$39),IF(OR(Inputs!$C$70=0,((((Inputs!$C$70*COS((-$B143))+Inputs!$B$70*SIN((-$B143)))-Inputs!$B$5)*(K143-Inputs!$B$5)+((Inputs!$C$70*SIN((-$B143))-Inputs!$B$70*COS((-$B143)))-Inputs!$B$6)*(L143-Inputs!$B$6))/M143)&lt;0,((((Inputs!$C$70*COS((-$B143))+Inputs!$B$70*SIN((-$B143)))-Inputs!$B$5)*(K143-Inputs!$B$5)+((Inputs!$C$70*SIN((-$B143))-Inputs!$B$70*COS((-$B143)))-Inputs!$B$6)*(L143-Inputs!$B$6))/M143)&gt;M143-Inputs!$B$40),999,(ABS((K143-Inputs!$B$5)*((Inputs!$C$70*SIN((-$B143))-Inputs!$B$70*COS((-$B143)))-Inputs!$B$6)-(L143-Inputs!$B$6)*((Inputs!$C$70*COS((-$B143))+Inputs!$B$70*SIN((-$B143)))-Inputs!$B$5))/M143)-IF(((((Inputs!$C$70*COS((-$B143))+Inputs!$B$70*SIN((-$B143)))-Inputs!$B$5)*(K143-Inputs!$B$5)+((Inputs!$C$70*SIN((-$B143))-Inputs!$B$70*COS((-$B143)))-Inputs!$B$6)*(L143-Inputs!$B$6))/M143)&lt;$B$16,$B$7/2,$B$8/2)-Inputs!$B$39),IF(OR(Inputs!$C$71=0,((((Inputs!$C$71*COS((-$B143))+Inputs!$B$71*SIN((-$B143)))-Inputs!$B$5)*(K143-Inputs!$B$5)+((Inputs!$C$71*SIN((-$B143))-Inputs!$B$71*COS((-$B143)))-Inputs!$B$6)*(L143-Inputs!$B$6))/M143)&lt;0,((((Inputs!$C$71*COS((-$B143))+Inputs!$B$71*SIN((-$B143)))-Inputs!$B$5)*(K143-Inputs!$B$5)+((Inputs!$C$71*SIN((-$B143))-Inputs!$B$71*COS((-$B143)))-Inputs!$B$6)*(L143-Inputs!$B$6))/M143)&gt;M143-Inputs!$B$40),999,(ABS((K143-Inputs!$B$5)*((Inputs!$C$71*SIN((-$B143))-Inputs!$B$71*COS((-$B143)))-Inputs!$B$6)-(L143-Inputs!$B$6)*((Inputs!$C$71*COS((-$B143))+Inputs!$B$71*SIN((-$B143)))-Inputs!$B$5))/M143)-IF(((((Inputs!$C$71*COS((-$B143))+Inputs!$B$71*SIN((-$B143)))-Inputs!$B$5)*(K143-Inputs!$B$5)+((Inputs!$C$71*SIN((-$B143))-Inputs!$B$71*COS((-$B143)))-Inputs!$B$6)*(L143-Inputs!$B$6))/M143)&lt;$B$16,$B$7/2,$B$8/2)-Inputs!$B$39),IF(OR(Inputs!$C$72=0,((((Inputs!$C$72*COS((-$B143))+Inputs!$B$72*SIN((-$B143)))-Inputs!$B$5)*(K143-Inputs!$B$5)+((Inputs!$C$72*SIN((-$B143))-Inputs!$B$72*COS((-$B143)))-Inputs!$B$6)*(L143-Inputs!$B$6))/M143)&lt;0,((((Inputs!$C$72*COS((-$B143))+Inputs!$B$72*SIN((-$B143)))-Inputs!$B$5)*(K143-Inputs!$B$5)+((Inputs!$C$72*SIN((-$B143))-Inputs!$B$72*COS((-$B143)))-Inputs!$B$6)*(L143-Inputs!$B$6))/M143)&gt;M143-Inputs!$B$40),999,(ABS((K143-Inputs!$B$5)*((Inputs!$C$72*SIN((-$B143))-Inputs!$B$72*COS((-$B143)))-Inputs!$B$6)-(L143-Inputs!$B$6)*((Inputs!$C$72*COS((-$B143))+Inputs!$B$72*SIN((-$B143)))-Inputs!$B$5))/M143)-IF(((((Inputs!$C$72*COS((-$B143))+Inputs!$B$72*SIN((-$B143)))-Inputs!$B$5)*(K143-Inputs!$B$5)+((Inputs!$C$72*SIN((-$B143))-Inputs!$B$72*COS((-$B143)))-Inputs!$B$6)*(L143-Inputs!$B$6))/M143)&lt;$B$16,$B$7/2,$B$8/2)-Inputs!$B$39))</f>
        <v>19.22353617</v>
      </c>
      <c r="P143" s="76">
        <f>IF(AND(M143&gt;=$B$14,M143&lt;=$B$15,N143&lt;=Inputs!$B$38,O143&gt;=0,$D143=1),1,0)</f>
        <v>0</v>
      </c>
    </row>
    <row r="144" ht="15.75" customHeight="1">
      <c r="A144" s="23">
        <v>25.25</v>
      </c>
      <c r="B144" s="40">
        <f t="shared" si="4"/>
        <v>0.4406956361</v>
      </c>
      <c r="C144" s="29">
        <f>MAX(Inputs!$C$68*COS($B144)+Inputs!$B$68*ABS(SIN($B144)),Inputs!$C$69*COS($B144)+Inputs!$B$69*ABS(SIN($B144)),Inputs!$C$70*COS($B144)+Inputs!$B$70*ABS(SIN($B144)),Inputs!$C$71*COS($B144)+Inputs!$B$71*ABS(SIN($B144)),Inputs!$C$72*COS($B144)+Inputs!$B$72*ABS(SIN($B144)))</f>
        <v>241.5155286</v>
      </c>
      <c r="D144" s="108">
        <f>IF(C144&lt;=Inputs!$B$38,1,0)</f>
        <v>1</v>
      </c>
      <c r="E144" s="29">
        <f>Inputs!$B$11*COS(($B144))-Inputs!$B$7*SIN(($B144))</f>
        <v>172.0102959</v>
      </c>
      <c r="F144" s="29">
        <f>Inputs!$B$11*SIN(($B144))+Inputs!$B$7*COS(($B144))</f>
        <v>-140.0022825</v>
      </c>
      <c r="G144" s="29">
        <f>SQRT((E144-Inputs!$B$5)^2+(F144-Inputs!$B$6)^2)</f>
        <v>252.3558788</v>
      </c>
      <c r="H144" s="29">
        <f>MAX(MAX(Inputs!$B$5,(Inputs!$B$5+(E144-Inputs!$B$5)*MIN(1,$B$16/G144)))+$B$7/2,MAX((Inputs!$B$5+(E144-Inputs!$B$5)*MIN(1,$B$16/G144)),E144)+Inputs!$B$41)</f>
        <v>291.8</v>
      </c>
      <c r="I144" s="29">
        <f>MIN(IF(OR(Inputs!$C$68=0,((((Inputs!$C$68*COS(($B144))+Inputs!$B$68*SIN(($B144)))-Inputs!$B$5)*(E144-Inputs!$B$5)+((Inputs!$C$68*SIN(($B144))-Inputs!$B$68*COS(($B144)))-Inputs!$B$6)*(F144-Inputs!$B$6))/G144)&lt;0,((((Inputs!$C$68*COS(($B144))+Inputs!$B$68*SIN(($B144)))-Inputs!$B$5)*(E144-Inputs!$B$5)+((Inputs!$C$68*SIN(($B144))-Inputs!$B$68*COS(($B144)))-Inputs!$B$6)*(F144-Inputs!$B$6))/G144)&gt;G144-Inputs!$B$40),999,(ABS((E144-Inputs!$B$5)*((Inputs!$C$68*SIN(($B144))-Inputs!$B$68*COS(($B144)))-Inputs!$B$6)-(F144-Inputs!$B$6)*((Inputs!$C$68*COS(($B144))+Inputs!$B$68*SIN(($B144)))-Inputs!$B$5))/G144)-IF(((((Inputs!$C$68*COS(($B144))+Inputs!$B$68*SIN(($B144)))-Inputs!$B$5)*(E144-Inputs!$B$5)+((Inputs!$C$68*SIN(($B144))-Inputs!$B$68*COS(($B144)))-Inputs!$B$6)*(F144-Inputs!$B$6))/G144)&lt;$B$16,$B$7/2,$B$8/2)-Inputs!$B$39),IF(OR(Inputs!$C$69=0,((((Inputs!$C$69*COS(($B144))+Inputs!$B$69*SIN(($B144)))-Inputs!$B$5)*(E144-Inputs!$B$5)+((Inputs!$C$69*SIN(($B144))-Inputs!$B$69*COS(($B144)))-Inputs!$B$6)*(F144-Inputs!$B$6))/G144)&lt;0,((((Inputs!$C$69*COS(($B144))+Inputs!$B$69*SIN(($B144)))-Inputs!$B$5)*(E144-Inputs!$B$5)+((Inputs!$C$69*SIN(($B144))-Inputs!$B$69*COS(($B144)))-Inputs!$B$6)*(F144-Inputs!$B$6))/G144)&gt;G144-Inputs!$B$40),999,(ABS((E144-Inputs!$B$5)*((Inputs!$C$69*SIN(($B144))-Inputs!$B$69*COS(($B144)))-Inputs!$B$6)-(F144-Inputs!$B$6)*((Inputs!$C$69*COS(($B144))+Inputs!$B$69*SIN(($B144)))-Inputs!$B$5))/G144)-IF(((((Inputs!$C$69*COS(($B144))+Inputs!$B$69*SIN(($B144)))-Inputs!$B$5)*(E144-Inputs!$B$5)+((Inputs!$C$69*SIN(($B144))-Inputs!$B$69*COS(($B144)))-Inputs!$B$6)*(F144-Inputs!$B$6))/G144)&lt;$B$16,$B$7/2,$B$8/2)-Inputs!$B$39),IF(OR(Inputs!$C$70=0,((((Inputs!$C$70*COS(($B144))+Inputs!$B$70*SIN(($B144)))-Inputs!$B$5)*(E144-Inputs!$B$5)+((Inputs!$C$70*SIN(($B144))-Inputs!$B$70*COS(($B144)))-Inputs!$B$6)*(F144-Inputs!$B$6))/G144)&lt;0,((((Inputs!$C$70*COS(($B144))+Inputs!$B$70*SIN(($B144)))-Inputs!$B$5)*(E144-Inputs!$B$5)+((Inputs!$C$70*SIN(($B144))-Inputs!$B$70*COS(($B144)))-Inputs!$B$6)*(F144-Inputs!$B$6))/G144)&gt;G144-Inputs!$B$40),999,(ABS((E144-Inputs!$B$5)*((Inputs!$C$70*SIN(($B144))-Inputs!$B$70*COS(($B144)))-Inputs!$B$6)-(F144-Inputs!$B$6)*((Inputs!$C$70*COS(($B144))+Inputs!$B$70*SIN(($B144)))-Inputs!$B$5))/G144)-IF(((((Inputs!$C$70*COS(($B144))+Inputs!$B$70*SIN(($B144)))-Inputs!$B$5)*(E144-Inputs!$B$5)+((Inputs!$C$70*SIN(($B144))-Inputs!$B$70*COS(($B144)))-Inputs!$B$6)*(F144-Inputs!$B$6))/G144)&lt;$B$16,$B$7/2,$B$8/2)-Inputs!$B$39),IF(OR(Inputs!$C$71=0,((((Inputs!$C$71*COS(($B144))+Inputs!$B$71*SIN(($B144)))-Inputs!$B$5)*(E144-Inputs!$B$5)+((Inputs!$C$71*SIN(($B144))-Inputs!$B$71*COS(($B144)))-Inputs!$B$6)*(F144-Inputs!$B$6))/G144)&lt;0,((((Inputs!$C$71*COS(($B144))+Inputs!$B$71*SIN(($B144)))-Inputs!$B$5)*(E144-Inputs!$B$5)+((Inputs!$C$71*SIN(($B144))-Inputs!$B$71*COS(($B144)))-Inputs!$B$6)*(F144-Inputs!$B$6))/G144)&gt;G144-Inputs!$B$40),999,(ABS((E144-Inputs!$B$5)*((Inputs!$C$71*SIN(($B144))-Inputs!$B$71*COS(($B144)))-Inputs!$B$6)-(F144-Inputs!$B$6)*((Inputs!$C$71*COS(($B144))+Inputs!$B$71*SIN(($B144)))-Inputs!$B$5))/G144)-IF(((((Inputs!$C$71*COS(($B144))+Inputs!$B$71*SIN(($B144)))-Inputs!$B$5)*(E144-Inputs!$B$5)+((Inputs!$C$71*SIN(($B144))-Inputs!$B$71*COS(($B144)))-Inputs!$B$6)*(F144-Inputs!$B$6))/G144)&lt;$B$16,$B$7/2,$B$8/2)-Inputs!$B$39),IF(OR(Inputs!$C$72=0,((((Inputs!$C$72*COS(($B144))+Inputs!$B$72*SIN(($B144)))-Inputs!$B$5)*(E144-Inputs!$B$5)+((Inputs!$C$72*SIN(($B144))-Inputs!$B$72*COS(($B144)))-Inputs!$B$6)*(F144-Inputs!$B$6))/G144)&lt;0,((((Inputs!$C$72*COS(($B144))+Inputs!$B$72*SIN(($B144)))-Inputs!$B$5)*(E144-Inputs!$B$5)+((Inputs!$C$72*SIN(($B144))-Inputs!$B$72*COS(($B144)))-Inputs!$B$6)*(F144-Inputs!$B$6))/G144)&gt;G144-Inputs!$B$40),999,(ABS((E144-Inputs!$B$5)*((Inputs!$C$72*SIN(($B144))-Inputs!$B$72*COS(($B144)))-Inputs!$B$6)-(F144-Inputs!$B$6)*((Inputs!$C$72*COS(($B144))+Inputs!$B$72*SIN(($B144)))-Inputs!$B$5))/G144)-IF(((((Inputs!$C$72*COS(($B144))+Inputs!$B$72*SIN(($B144)))-Inputs!$B$5)*(E144-Inputs!$B$5)+((Inputs!$C$72*SIN(($B144))-Inputs!$B$72*COS(($B144)))-Inputs!$B$6)*(F144-Inputs!$B$6))/G144)&lt;$B$16,$B$7/2,$B$8/2)-Inputs!$B$39))</f>
        <v>49.72542841</v>
      </c>
      <c r="J144" s="76">
        <f>IF(AND(G144&gt;=$B$14,G144&lt;=$B$15,H144&lt;=Inputs!$B$38,I144&gt;=0,$D144=1),1,0)</f>
        <v>0</v>
      </c>
      <c r="K144" s="29">
        <f>Inputs!$B$11*COS((-$B144))-Inputs!$B$7*SIN((-$B144))</f>
        <v>1.382799987</v>
      </c>
      <c r="L144" s="29">
        <f>Inputs!$B$11*SIN((-$B144))+Inputs!$B$7*COS((-$B144))</f>
        <v>-221.7797757</v>
      </c>
      <c r="M144" s="29">
        <f>SQRT((K144-Inputs!$B$5)^2+(L144-Inputs!$B$6)^2)</f>
        <v>406.6358766</v>
      </c>
      <c r="N144" s="29">
        <f>MAX(MAX(Inputs!$B$5,(Inputs!$B$5+(K144-Inputs!$B$5)*MIN(1,$B$16/M144)))+$B$7/2,MAX((Inputs!$B$5+(K144-Inputs!$B$5)*MIN(1,$B$16/M144)),K144)+Inputs!$B$41)</f>
        <v>291.8</v>
      </c>
      <c r="O144" s="29">
        <f>MIN(IF(OR(Inputs!$C$68=0,((((Inputs!$C$68*COS((-$B144))+Inputs!$B$68*SIN((-$B144)))-Inputs!$B$5)*(K144-Inputs!$B$5)+((Inputs!$C$68*SIN((-$B144))-Inputs!$B$68*COS((-$B144)))-Inputs!$B$6)*(L144-Inputs!$B$6))/M144)&lt;0,((((Inputs!$C$68*COS((-$B144))+Inputs!$B$68*SIN((-$B144)))-Inputs!$B$5)*(K144-Inputs!$B$5)+((Inputs!$C$68*SIN((-$B144))-Inputs!$B$68*COS((-$B144)))-Inputs!$B$6)*(L144-Inputs!$B$6))/M144)&gt;M144-Inputs!$B$40),999,(ABS((K144-Inputs!$B$5)*((Inputs!$C$68*SIN((-$B144))-Inputs!$B$68*COS((-$B144)))-Inputs!$B$6)-(L144-Inputs!$B$6)*((Inputs!$C$68*COS((-$B144))+Inputs!$B$68*SIN((-$B144)))-Inputs!$B$5))/M144)-IF(((((Inputs!$C$68*COS((-$B144))+Inputs!$B$68*SIN((-$B144)))-Inputs!$B$5)*(K144-Inputs!$B$5)+((Inputs!$C$68*SIN((-$B144))-Inputs!$B$68*COS((-$B144)))-Inputs!$B$6)*(L144-Inputs!$B$6))/M144)&lt;$B$16,$B$7/2,$B$8/2)-Inputs!$B$39),IF(OR(Inputs!$C$69=0,((((Inputs!$C$69*COS((-$B144))+Inputs!$B$69*SIN((-$B144)))-Inputs!$B$5)*(K144-Inputs!$B$5)+((Inputs!$C$69*SIN((-$B144))-Inputs!$B$69*COS((-$B144)))-Inputs!$B$6)*(L144-Inputs!$B$6))/M144)&lt;0,((((Inputs!$C$69*COS((-$B144))+Inputs!$B$69*SIN((-$B144)))-Inputs!$B$5)*(K144-Inputs!$B$5)+((Inputs!$C$69*SIN((-$B144))-Inputs!$B$69*COS((-$B144)))-Inputs!$B$6)*(L144-Inputs!$B$6))/M144)&gt;M144-Inputs!$B$40),999,(ABS((K144-Inputs!$B$5)*((Inputs!$C$69*SIN((-$B144))-Inputs!$B$69*COS((-$B144)))-Inputs!$B$6)-(L144-Inputs!$B$6)*((Inputs!$C$69*COS((-$B144))+Inputs!$B$69*SIN((-$B144)))-Inputs!$B$5))/M144)-IF(((((Inputs!$C$69*COS((-$B144))+Inputs!$B$69*SIN((-$B144)))-Inputs!$B$5)*(K144-Inputs!$B$5)+((Inputs!$C$69*SIN((-$B144))-Inputs!$B$69*COS((-$B144)))-Inputs!$B$6)*(L144-Inputs!$B$6))/M144)&lt;$B$16,$B$7/2,$B$8/2)-Inputs!$B$39),IF(OR(Inputs!$C$70=0,((((Inputs!$C$70*COS((-$B144))+Inputs!$B$70*SIN((-$B144)))-Inputs!$B$5)*(K144-Inputs!$B$5)+((Inputs!$C$70*SIN((-$B144))-Inputs!$B$70*COS((-$B144)))-Inputs!$B$6)*(L144-Inputs!$B$6))/M144)&lt;0,((((Inputs!$C$70*COS((-$B144))+Inputs!$B$70*SIN((-$B144)))-Inputs!$B$5)*(K144-Inputs!$B$5)+((Inputs!$C$70*SIN((-$B144))-Inputs!$B$70*COS((-$B144)))-Inputs!$B$6)*(L144-Inputs!$B$6))/M144)&gt;M144-Inputs!$B$40),999,(ABS((K144-Inputs!$B$5)*((Inputs!$C$70*SIN((-$B144))-Inputs!$B$70*COS((-$B144)))-Inputs!$B$6)-(L144-Inputs!$B$6)*((Inputs!$C$70*COS((-$B144))+Inputs!$B$70*SIN((-$B144)))-Inputs!$B$5))/M144)-IF(((((Inputs!$C$70*COS((-$B144))+Inputs!$B$70*SIN((-$B144)))-Inputs!$B$5)*(K144-Inputs!$B$5)+((Inputs!$C$70*SIN((-$B144))-Inputs!$B$70*COS((-$B144)))-Inputs!$B$6)*(L144-Inputs!$B$6))/M144)&lt;$B$16,$B$7/2,$B$8/2)-Inputs!$B$39),IF(OR(Inputs!$C$71=0,((((Inputs!$C$71*COS((-$B144))+Inputs!$B$71*SIN((-$B144)))-Inputs!$B$5)*(K144-Inputs!$B$5)+((Inputs!$C$71*SIN((-$B144))-Inputs!$B$71*COS((-$B144)))-Inputs!$B$6)*(L144-Inputs!$B$6))/M144)&lt;0,((((Inputs!$C$71*COS((-$B144))+Inputs!$B$71*SIN((-$B144)))-Inputs!$B$5)*(K144-Inputs!$B$5)+((Inputs!$C$71*SIN((-$B144))-Inputs!$B$71*COS((-$B144)))-Inputs!$B$6)*(L144-Inputs!$B$6))/M144)&gt;M144-Inputs!$B$40),999,(ABS((K144-Inputs!$B$5)*((Inputs!$C$71*SIN((-$B144))-Inputs!$B$71*COS((-$B144)))-Inputs!$B$6)-(L144-Inputs!$B$6)*((Inputs!$C$71*COS((-$B144))+Inputs!$B$71*SIN((-$B144)))-Inputs!$B$5))/M144)-IF(((((Inputs!$C$71*COS((-$B144))+Inputs!$B$71*SIN((-$B144)))-Inputs!$B$5)*(K144-Inputs!$B$5)+((Inputs!$C$71*SIN((-$B144))-Inputs!$B$71*COS((-$B144)))-Inputs!$B$6)*(L144-Inputs!$B$6))/M144)&lt;$B$16,$B$7/2,$B$8/2)-Inputs!$B$39),IF(OR(Inputs!$C$72=0,((((Inputs!$C$72*COS((-$B144))+Inputs!$B$72*SIN((-$B144)))-Inputs!$B$5)*(K144-Inputs!$B$5)+((Inputs!$C$72*SIN((-$B144))-Inputs!$B$72*COS((-$B144)))-Inputs!$B$6)*(L144-Inputs!$B$6))/M144)&lt;0,((((Inputs!$C$72*COS((-$B144))+Inputs!$B$72*SIN((-$B144)))-Inputs!$B$5)*(K144-Inputs!$B$5)+((Inputs!$C$72*SIN((-$B144))-Inputs!$B$72*COS((-$B144)))-Inputs!$B$6)*(L144-Inputs!$B$6))/M144)&gt;M144-Inputs!$B$40),999,(ABS((K144-Inputs!$B$5)*((Inputs!$C$72*SIN((-$B144))-Inputs!$B$72*COS((-$B144)))-Inputs!$B$6)-(L144-Inputs!$B$6)*((Inputs!$C$72*COS((-$B144))+Inputs!$B$72*SIN((-$B144)))-Inputs!$B$5))/M144)-IF(((((Inputs!$C$72*COS((-$B144))+Inputs!$B$72*SIN((-$B144)))-Inputs!$B$5)*(K144-Inputs!$B$5)+((Inputs!$C$72*SIN((-$B144))-Inputs!$B$72*COS((-$B144)))-Inputs!$B$6)*(L144-Inputs!$B$6))/M144)&lt;$B$16,$B$7/2,$B$8/2)-Inputs!$B$39))</f>
        <v>18.88700927</v>
      </c>
      <c r="P144" s="76">
        <f>IF(AND(M144&gt;=$B$14,M144&lt;=$B$15,N144&lt;=Inputs!$B$38,O144&gt;=0,$D144=1),1,0)</f>
        <v>0</v>
      </c>
    </row>
    <row r="145" ht="15.75" customHeight="1">
      <c r="A145" s="23">
        <v>25.5</v>
      </c>
      <c r="B145" s="40">
        <f t="shared" si="4"/>
        <v>0.4450589593</v>
      </c>
      <c r="C145" s="29">
        <f>MAX(Inputs!$C$68*COS($B145)+Inputs!$B$68*ABS(SIN($B145)),Inputs!$C$69*COS($B145)+Inputs!$B$69*ABS(SIN($B145)),Inputs!$C$70*COS($B145)+Inputs!$B$70*ABS(SIN($B145)),Inputs!$C$71*COS($B145)+Inputs!$B$71*ABS(SIN($B145)),Inputs!$C$72*COS($B145)+Inputs!$B$72*ABS(SIN($B145)))</f>
        <v>242.9395405</v>
      </c>
      <c r="D145" s="108">
        <f>IF(C145&lt;=Inputs!$B$38,1,0)</f>
        <v>1</v>
      </c>
      <c r="E145" s="29">
        <f>Inputs!$B$11*COS(($B145))-Inputs!$B$7*SIN(($B145))</f>
        <v>172.6195318</v>
      </c>
      <c r="F145" s="29">
        <f>Inputs!$B$11*SIN(($B145))+Inputs!$B$7*COS(($B145))</f>
        <v>-139.2504157</v>
      </c>
      <c r="G145" s="29">
        <f>SQRT((E145-Inputs!$B$5)^2+(F145-Inputs!$B$6)^2)</f>
        <v>251.4527754</v>
      </c>
      <c r="H145" s="29">
        <f>MAX(MAX(Inputs!$B$5,(Inputs!$B$5+(E145-Inputs!$B$5)*MIN(1,$B$16/G145)))+$B$7/2,MAX((Inputs!$B$5+(E145-Inputs!$B$5)*MIN(1,$B$16/G145)),E145)+Inputs!$B$41)</f>
        <v>291.8</v>
      </c>
      <c r="I145" s="29">
        <f>MIN(IF(OR(Inputs!$C$68=0,((((Inputs!$C$68*COS(($B145))+Inputs!$B$68*SIN(($B145)))-Inputs!$B$5)*(E145-Inputs!$B$5)+((Inputs!$C$68*SIN(($B145))-Inputs!$B$68*COS(($B145)))-Inputs!$B$6)*(F145-Inputs!$B$6))/G145)&lt;0,((((Inputs!$C$68*COS(($B145))+Inputs!$B$68*SIN(($B145)))-Inputs!$B$5)*(E145-Inputs!$B$5)+((Inputs!$C$68*SIN(($B145))-Inputs!$B$68*COS(($B145)))-Inputs!$B$6)*(F145-Inputs!$B$6))/G145)&gt;G145-Inputs!$B$40),999,(ABS((E145-Inputs!$B$5)*((Inputs!$C$68*SIN(($B145))-Inputs!$B$68*COS(($B145)))-Inputs!$B$6)-(F145-Inputs!$B$6)*((Inputs!$C$68*COS(($B145))+Inputs!$B$68*SIN(($B145)))-Inputs!$B$5))/G145)-IF(((((Inputs!$C$68*COS(($B145))+Inputs!$B$68*SIN(($B145)))-Inputs!$B$5)*(E145-Inputs!$B$5)+((Inputs!$C$68*SIN(($B145))-Inputs!$B$68*COS(($B145)))-Inputs!$B$6)*(F145-Inputs!$B$6))/G145)&lt;$B$16,$B$7/2,$B$8/2)-Inputs!$B$39),IF(OR(Inputs!$C$69=0,((((Inputs!$C$69*COS(($B145))+Inputs!$B$69*SIN(($B145)))-Inputs!$B$5)*(E145-Inputs!$B$5)+((Inputs!$C$69*SIN(($B145))-Inputs!$B$69*COS(($B145)))-Inputs!$B$6)*(F145-Inputs!$B$6))/G145)&lt;0,((((Inputs!$C$69*COS(($B145))+Inputs!$B$69*SIN(($B145)))-Inputs!$B$5)*(E145-Inputs!$B$5)+((Inputs!$C$69*SIN(($B145))-Inputs!$B$69*COS(($B145)))-Inputs!$B$6)*(F145-Inputs!$B$6))/G145)&gt;G145-Inputs!$B$40),999,(ABS((E145-Inputs!$B$5)*((Inputs!$C$69*SIN(($B145))-Inputs!$B$69*COS(($B145)))-Inputs!$B$6)-(F145-Inputs!$B$6)*((Inputs!$C$69*COS(($B145))+Inputs!$B$69*SIN(($B145)))-Inputs!$B$5))/G145)-IF(((((Inputs!$C$69*COS(($B145))+Inputs!$B$69*SIN(($B145)))-Inputs!$B$5)*(E145-Inputs!$B$5)+((Inputs!$C$69*SIN(($B145))-Inputs!$B$69*COS(($B145)))-Inputs!$B$6)*(F145-Inputs!$B$6))/G145)&lt;$B$16,$B$7/2,$B$8/2)-Inputs!$B$39),IF(OR(Inputs!$C$70=0,((((Inputs!$C$70*COS(($B145))+Inputs!$B$70*SIN(($B145)))-Inputs!$B$5)*(E145-Inputs!$B$5)+((Inputs!$C$70*SIN(($B145))-Inputs!$B$70*COS(($B145)))-Inputs!$B$6)*(F145-Inputs!$B$6))/G145)&lt;0,((((Inputs!$C$70*COS(($B145))+Inputs!$B$70*SIN(($B145)))-Inputs!$B$5)*(E145-Inputs!$B$5)+((Inputs!$C$70*SIN(($B145))-Inputs!$B$70*COS(($B145)))-Inputs!$B$6)*(F145-Inputs!$B$6))/G145)&gt;G145-Inputs!$B$40),999,(ABS((E145-Inputs!$B$5)*((Inputs!$C$70*SIN(($B145))-Inputs!$B$70*COS(($B145)))-Inputs!$B$6)-(F145-Inputs!$B$6)*((Inputs!$C$70*COS(($B145))+Inputs!$B$70*SIN(($B145)))-Inputs!$B$5))/G145)-IF(((((Inputs!$C$70*COS(($B145))+Inputs!$B$70*SIN(($B145)))-Inputs!$B$5)*(E145-Inputs!$B$5)+((Inputs!$C$70*SIN(($B145))-Inputs!$B$70*COS(($B145)))-Inputs!$B$6)*(F145-Inputs!$B$6))/G145)&lt;$B$16,$B$7/2,$B$8/2)-Inputs!$B$39),IF(OR(Inputs!$C$71=0,((((Inputs!$C$71*COS(($B145))+Inputs!$B$71*SIN(($B145)))-Inputs!$B$5)*(E145-Inputs!$B$5)+((Inputs!$C$71*SIN(($B145))-Inputs!$B$71*COS(($B145)))-Inputs!$B$6)*(F145-Inputs!$B$6))/G145)&lt;0,((((Inputs!$C$71*COS(($B145))+Inputs!$B$71*SIN(($B145)))-Inputs!$B$5)*(E145-Inputs!$B$5)+((Inputs!$C$71*SIN(($B145))-Inputs!$B$71*COS(($B145)))-Inputs!$B$6)*(F145-Inputs!$B$6))/G145)&gt;G145-Inputs!$B$40),999,(ABS((E145-Inputs!$B$5)*((Inputs!$C$71*SIN(($B145))-Inputs!$B$71*COS(($B145)))-Inputs!$B$6)-(F145-Inputs!$B$6)*((Inputs!$C$71*COS(($B145))+Inputs!$B$71*SIN(($B145)))-Inputs!$B$5))/G145)-IF(((((Inputs!$C$71*COS(($B145))+Inputs!$B$71*SIN(($B145)))-Inputs!$B$5)*(E145-Inputs!$B$5)+((Inputs!$C$71*SIN(($B145))-Inputs!$B$71*COS(($B145)))-Inputs!$B$6)*(F145-Inputs!$B$6))/G145)&lt;$B$16,$B$7/2,$B$8/2)-Inputs!$B$39),IF(OR(Inputs!$C$72=0,((((Inputs!$C$72*COS(($B145))+Inputs!$B$72*SIN(($B145)))-Inputs!$B$5)*(E145-Inputs!$B$5)+((Inputs!$C$72*SIN(($B145))-Inputs!$B$72*COS(($B145)))-Inputs!$B$6)*(F145-Inputs!$B$6))/G145)&lt;0,((((Inputs!$C$72*COS(($B145))+Inputs!$B$72*SIN(($B145)))-Inputs!$B$5)*(E145-Inputs!$B$5)+((Inputs!$C$72*SIN(($B145))-Inputs!$B$72*COS(($B145)))-Inputs!$B$6)*(F145-Inputs!$B$6))/G145)&gt;G145-Inputs!$B$40),999,(ABS((E145-Inputs!$B$5)*((Inputs!$C$72*SIN(($B145))-Inputs!$B$72*COS(($B145)))-Inputs!$B$6)-(F145-Inputs!$B$6)*((Inputs!$C$72*COS(($B145))+Inputs!$B$72*SIN(($B145)))-Inputs!$B$5))/G145)-IF(((((Inputs!$C$72*COS(($B145))+Inputs!$B$72*SIN(($B145)))-Inputs!$B$5)*(E145-Inputs!$B$5)+((Inputs!$C$72*SIN(($B145))-Inputs!$B$72*COS(($B145)))-Inputs!$B$6)*(F145-Inputs!$B$6))/G145)&lt;$B$16,$B$7/2,$B$8/2)-Inputs!$B$39))</f>
        <v>49.88978249</v>
      </c>
      <c r="J145" s="76">
        <f>IF(AND(G145&gt;=$B$14,G145&lt;=$B$15,H145&lt;=Inputs!$B$38,I145&gt;=0,$D145=1),1,0)</f>
        <v>0</v>
      </c>
      <c r="K145" s="29">
        <f>Inputs!$B$11*COS((-$B145))-Inputs!$B$7*SIN((-$B145))</f>
        <v>0.4150930697</v>
      </c>
      <c r="L145" s="29">
        <f>Inputs!$B$11*SIN((-$B145))+Inputs!$B$7*COS((-$B145))</f>
        <v>-221.7836981</v>
      </c>
      <c r="M145" s="29">
        <f>SQRT((K145-Inputs!$B$5)^2+(L145-Inputs!$B$6)^2)</f>
        <v>407.2313521</v>
      </c>
      <c r="N145" s="29">
        <f>MAX(MAX(Inputs!$B$5,(Inputs!$B$5+(K145-Inputs!$B$5)*MIN(1,$B$16/M145)))+$B$7/2,MAX((Inputs!$B$5+(K145-Inputs!$B$5)*MIN(1,$B$16/M145)),K145)+Inputs!$B$41)</f>
        <v>291.8</v>
      </c>
      <c r="O145" s="29">
        <f>MIN(IF(OR(Inputs!$C$68=0,((((Inputs!$C$68*COS((-$B145))+Inputs!$B$68*SIN((-$B145)))-Inputs!$B$5)*(K145-Inputs!$B$5)+((Inputs!$C$68*SIN((-$B145))-Inputs!$B$68*COS((-$B145)))-Inputs!$B$6)*(L145-Inputs!$B$6))/M145)&lt;0,((((Inputs!$C$68*COS((-$B145))+Inputs!$B$68*SIN((-$B145)))-Inputs!$B$5)*(K145-Inputs!$B$5)+((Inputs!$C$68*SIN((-$B145))-Inputs!$B$68*COS((-$B145)))-Inputs!$B$6)*(L145-Inputs!$B$6))/M145)&gt;M145-Inputs!$B$40),999,(ABS((K145-Inputs!$B$5)*((Inputs!$C$68*SIN((-$B145))-Inputs!$B$68*COS((-$B145)))-Inputs!$B$6)-(L145-Inputs!$B$6)*((Inputs!$C$68*COS((-$B145))+Inputs!$B$68*SIN((-$B145)))-Inputs!$B$5))/M145)-IF(((((Inputs!$C$68*COS((-$B145))+Inputs!$B$68*SIN((-$B145)))-Inputs!$B$5)*(K145-Inputs!$B$5)+((Inputs!$C$68*SIN((-$B145))-Inputs!$B$68*COS((-$B145)))-Inputs!$B$6)*(L145-Inputs!$B$6))/M145)&lt;$B$16,$B$7/2,$B$8/2)-Inputs!$B$39),IF(OR(Inputs!$C$69=0,((((Inputs!$C$69*COS((-$B145))+Inputs!$B$69*SIN((-$B145)))-Inputs!$B$5)*(K145-Inputs!$B$5)+((Inputs!$C$69*SIN((-$B145))-Inputs!$B$69*COS((-$B145)))-Inputs!$B$6)*(L145-Inputs!$B$6))/M145)&lt;0,((((Inputs!$C$69*COS((-$B145))+Inputs!$B$69*SIN((-$B145)))-Inputs!$B$5)*(K145-Inputs!$B$5)+((Inputs!$C$69*SIN((-$B145))-Inputs!$B$69*COS((-$B145)))-Inputs!$B$6)*(L145-Inputs!$B$6))/M145)&gt;M145-Inputs!$B$40),999,(ABS((K145-Inputs!$B$5)*((Inputs!$C$69*SIN((-$B145))-Inputs!$B$69*COS((-$B145)))-Inputs!$B$6)-(L145-Inputs!$B$6)*((Inputs!$C$69*COS((-$B145))+Inputs!$B$69*SIN((-$B145)))-Inputs!$B$5))/M145)-IF(((((Inputs!$C$69*COS((-$B145))+Inputs!$B$69*SIN((-$B145)))-Inputs!$B$5)*(K145-Inputs!$B$5)+((Inputs!$C$69*SIN((-$B145))-Inputs!$B$69*COS((-$B145)))-Inputs!$B$6)*(L145-Inputs!$B$6))/M145)&lt;$B$16,$B$7/2,$B$8/2)-Inputs!$B$39),IF(OR(Inputs!$C$70=0,((((Inputs!$C$70*COS((-$B145))+Inputs!$B$70*SIN((-$B145)))-Inputs!$B$5)*(K145-Inputs!$B$5)+((Inputs!$C$70*SIN((-$B145))-Inputs!$B$70*COS((-$B145)))-Inputs!$B$6)*(L145-Inputs!$B$6))/M145)&lt;0,((((Inputs!$C$70*COS((-$B145))+Inputs!$B$70*SIN((-$B145)))-Inputs!$B$5)*(K145-Inputs!$B$5)+((Inputs!$C$70*SIN((-$B145))-Inputs!$B$70*COS((-$B145)))-Inputs!$B$6)*(L145-Inputs!$B$6))/M145)&gt;M145-Inputs!$B$40),999,(ABS((K145-Inputs!$B$5)*((Inputs!$C$70*SIN((-$B145))-Inputs!$B$70*COS((-$B145)))-Inputs!$B$6)-(L145-Inputs!$B$6)*((Inputs!$C$70*COS((-$B145))+Inputs!$B$70*SIN((-$B145)))-Inputs!$B$5))/M145)-IF(((((Inputs!$C$70*COS((-$B145))+Inputs!$B$70*SIN((-$B145)))-Inputs!$B$5)*(K145-Inputs!$B$5)+((Inputs!$C$70*SIN((-$B145))-Inputs!$B$70*COS((-$B145)))-Inputs!$B$6)*(L145-Inputs!$B$6))/M145)&lt;$B$16,$B$7/2,$B$8/2)-Inputs!$B$39),IF(OR(Inputs!$C$71=0,((((Inputs!$C$71*COS((-$B145))+Inputs!$B$71*SIN((-$B145)))-Inputs!$B$5)*(K145-Inputs!$B$5)+((Inputs!$C$71*SIN((-$B145))-Inputs!$B$71*COS((-$B145)))-Inputs!$B$6)*(L145-Inputs!$B$6))/M145)&lt;0,((((Inputs!$C$71*COS((-$B145))+Inputs!$B$71*SIN((-$B145)))-Inputs!$B$5)*(K145-Inputs!$B$5)+((Inputs!$C$71*SIN((-$B145))-Inputs!$B$71*COS((-$B145)))-Inputs!$B$6)*(L145-Inputs!$B$6))/M145)&gt;M145-Inputs!$B$40),999,(ABS((K145-Inputs!$B$5)*((Inputs!$C$71*SIN((-$B145))-Inputs!$B$71*COS((-$B145)))-Inputs!$B$6)-(L145-Inputs!$B$6)*((Inputs!$C$71*COS((-$B145))+Inputs!$B$71*SIN((-$B145)))-Inputs!$B$5))/M145)-IF(((((Inputs!$C$71*COS((-$B145))+Inputs!$B$71*SIN((-$B145)))-Inputs!$B$5)*(K145-Inputs!$B$5)+((Inputs!$C$71*SIN((-$B145))-Inputs!$B$71*COS((-$B145)))-Inputs!$B$6)*(L145-Inputs!$B$6))/M145)&lt;$B$16,$B$7/2,$B$8/2)-Inputs!$B$39),IF(OR(Inputs!$C$72=0,((((Inputs!$C$72*COS((-$B145))+Inputs!$B$72*SIN((-$B145)))-Inputs!$B$5)*(K145-Inputs!$B$5)+((Inputs!$C$72*SIN((-$B145))-Inputs!$B$72*COS((-$B145)))-Inputs!$B$6)*(L145-Inputs!$B$6))/M145)&lt;0,((((Inputs!$C$72*COS((-$B145))+Inputs!$B$72*SIN((-$B145)))-Inputs!$B$5)*(K145-Inputs!$B$5)+((Inputs!$C$72*SIN((-$B145))-Inputs!$B$72*COS((-$B145)))-Inputs!$B$6)*(L145-Inputs!$B$6))/M145)&gt;M145-Inputs!$B$40),999,(ABS((K145-Inputs!$B$5)*((Inputs!$C$72*SIN((-$B145))-Inputs!$B$72*COS((-$B145)))-Inputs!$B$6)-(L145-Inputs!$B$6)*((Inputs!$C$72*COS((-$B145))+Inputs!$B$72*SIN((-$B145)))-Inputs!$B$5))/M145)-IF(((((Inputs!$C$72*COS((-$B145))+Inputs!$B$72*SIN((-$B145)))-Inputs!$B$5)*(K145-Inputs!$B$5)+((Inputs!$C$72*SIN((-$B145))-Inputs!$B$72*COS((-$B145)))-Inputs!$B$6)*(L145-Inputs!$B$6))/M145)&lt;$B$16,$B$7/2,$B$8/2)-Inputs!$B$39))</f>
        <v>18.5503754</v>
      </c>
      <c r="P145" s="76">
        <f>IF(AND(M145&gt;=$B$14,M145&lt;=$B$15,N145&lt;=Inputs!$B$38,O145&gt;=0,$D145=1),1,0)</f>
        <v>0</v>
      </c>
    </row>
    <row r="146" ht="15.75" customHeight="1">
      <c r="A146" s="23">
        <v>25.75</v>
      </c>
      <c r="B146" s="40">
        <f t="shared" si="4"/>
        <v>0.4494222824</v>
      </c>
      <c r="C146" s="29">
        <f>MAX(Inputs!$C$68*COS($B146)+Inputs!$B$68*ABS(SIN($B146)),Inputs!$C$69*COS($B146)+Inputs!$B$69*ABS(SIN($B146)),Inputs!$C$70*COS($B146)+Inputs!$B$70*ABS(SIN($B146)),Inputs!$C$71*COS($B146)+Inputs!$B$71*ABS(SIN($B146)),Inputs!$C$72*COS($B146)+Inputs!$B$72*ABS(SIN($B146)))</f>
        <v>244.3589272</v>
      </c>
      <c r="D146" s="108">
        <f>IF(C146&lt;=Inputs!$B$38,1,0)</f>
        <v>1</v>
      </c>
      <c r="E146" s="29">
        <f>Inputs!$B$11*COS(($B146))-Inputs!$B$7*SIN(($B146))</f>
        <v>173.2254812</v>
      </c>
      <c r="F146" s="29">
        <f>Inputs!$B$11*SIN(($B146))+Inputs!$B$7*COS(($B146))</f>
        <v>-138.4958977</v>
      </c>
      <c r="G146" s="29">
        <f>SQRT((E146-Inputs!$B$5)^2+(F146-Inputs!$B$6)^2)</f>
        <v>250.5486379</v>
      </c>
      <c r="H146" s="29">
        <f>MAX(MAX(Inputs!$B$5,(Inputs!$B$5+(E146-Inputs!$B$5)*MIN(1,$B$16/G146)))+$B$7/2,MAX((Inputs!$B$5+(E146-Inputs!$B$5)*MIN(1,$B$16/G146)),E146)+Inputs!$B$41)</f>
        <v>291.8</v>
      </c>
      <c r="I146" s="29">
        <f>MIN(IF(OR(Inputs!$C$68=0,((((Inputs!$C$68*COS(($B146))+Inputs!$B$68*SIN(($B146)))-Inputs!$B$5)*(E146-Inputs!$B$5)+((Inputs!$C$68*SIN(($B146))-Inputs!$B$68*COS(($B146)))-Inputs!$B$6)*(F146-Inputs!$B$6))/G146)&lt;0,((((Inputs!$C$68*COS(($B146))+Inputs!$B$68*SIN(($B146)))-Inputs!$B$5)*(E146-Inputs!$B$5)+((Inputs!$C$68*SIN(($B146))-Inputs!$B$68*COS(($B146)))-Inputs!$B$6)*(F146-Inputs!$B$6))/G146)&gt;G146-Inputs!$B$40),999,(ABS((E146-Inputs!$B$5)*((Inputs!$C$68*SIN(($B146))-Inputs!$B$68*COS(($B146)))-Inputs!$B$6)-(F146-Inputs!$B$6)*((Inputs!$C$68*COS(($B146))+Inputs!$B$68*SIN(($B146)))-Inputs!$B$5))/G146)-IF(((((Inputs!$C$68*COS(($B146))+Inputs!$B$68*SIN(($B146)))-Inputs!$B$5)*(E146-Inputs!$B$5)+((Inputs!$C$68*SIN(($B146))-Inputs!$B$68*COS(($B146)))-Inputs!$B$6)*(F146-Inputs!$B$6))/G146)&lt;$B$16,$B$7/2,$B$8/2)-Inputs!$B$39),IF(OR(Inputs!$C$69=0,((((Inputs!$C$69*COS(($B146))+Inputs!$B$69*SIN(($B146)))-Inputs!$B$5)*(E146-Inputs!$B$5)+((Inputs!$C$69*SIN(($B146))-Inputs!$B$69*COS(($B146)))-Inputs!$B$6)*(F146-Inputs!$B$6))/G146)&lt;0,((((Inputs!$C$69*COS(($B146))+Inputs!$B$69*SIN(($B146)))-Inputs!$B$5)*(E146-Inputs!$B$5)+((Inputs!$C$69*SIN(($B146))-Inputs!$B$69*COS(($B146)))-Inputs!$B$6)*(F146-Inputs!$B$6))/G146)&gt;G146-Inputs!$B$40),999,(ABS((E146-Inputs!$B$5)*((Inputs!$C$69*SIN(($B146))-Inputs!$B$69*COS(($B146)))-Inputs!$B$6)-(F146-Inputs!$B$6)*((Inputs!$C$69*COS(($B146))+Inputs!$B$69*SIN(($B146)))-Inputs!$B$5))/G146)-IF(((((Inputs!$C$69*COS(($B146))+Inputs!$B$69*SIN(($B146)))-Inputs!$B$5)*(E146-Inputs!$B$5)+((Inputs!$C$69*SIN(($B146))-Inputs!$B$69*COS(($B146)))-Inputs!$B$6)*(F146-Inputs!$B$6))/G146)&lt;$B$16,$B$7/2,$B$8/2)-Inputs!$B$39),IF(OR(Inputs!$C$70=0,((((Inputs!$C$70*COS(($B146))+Inputs!$B$70*SIN(($B146)))-Inputs!$B$5)*(E146-Inputs!$B$5)+((Inputs!$C$70*SIN(($B146))-Inputs!$B$70*COS(($B146)))-Inputs!$B$6)*(F146-Inputs!$B$6))/G146)&lt;0,((((Inputs!$C$70*COS(($B146))+Inputs!$B$70*SIN(($B146)))-Inputs!$B$5)*(E146-Inputs!$B$5)+((Inputs!$C$70*SIN(($B146))-Inputs!$B$70*COS(($B146)))-Inputs!$B$6)*(F146-Inputs!$B$6))/G146)&gt;G146-Inputs!$B$40),999,(ABS((E146-Inputs!$B$5)*((Inputs!$C$70*SIN(($B146))-Inputs!$B$70*COS(($B146)))-Inputs!$B$6)-(F146-Inputs!$B$6)*((Inputs!$C$70*COS(($B146))+Inputs!$B$70*SIN(($B146)))-Inputs!$B$5))/G146)-IF(((((Inputs!$C$70*COS(($B146))+Inputs!$B$70*SIN(($B146)))-Inputs!$B$5)*(E146-Inputs!$B$5)+((Inputs!$C$70*SIN(($B146))-Inputs!$B$70*COS(($B146)))-Inputs!$B$6)*(F146-Inputs!$B$6))/G146)&lt;$B$16,$B$7/2,$B$8/2)-Inputs!$B$39),IF(OR(Inputs!$C$71=0,((((Inputs!$C$71*COS(($B146))+Inputs!$B$71*SIN(($B146)))-Inputs!$B$5)*(E146-Inputs!$B$5)+((Inputs!$C$71*SIN(($B146))-Inputs!$B$71*COS(($B146)))-Inputs!$B$6)*(F146-Inputs!$B$6))/G146)&lt;0,((((Inputs!$C$71*COS(($B146))+Inputs!$B$71*SIN(($B146)))-Inputs!$B$5)*(E146-Inputs!$B$5)+((Inputs!$C$71*SIN(($B146))-Inputs!$B$71*COS(($B146)))-Inputs!$B$6)*(F146-Inputs!$B$6))/G146)&gt;G146-Inputs!$B$40),999,(ABS((E146-Inputs!$B$5)*((Inputs!$C$71*SIN(($B146))-Inputs!$B$71*COS(($B146)))-Inputs!$B$6)-(F146-Inputs!$B$6)*((Inputs!$C$71*COS(($B146))+Inputs!$B$71*SIN(($B146)))-Inputs!$B$5))/G146)-IF(((((Inputs!$C$71*COS(($B146))+Inputs!$B$71*SIN(($B146)))-Inputs!$B$5)*(E146-Inputs!$B$5)+((Inputs!$C$71*SIN(($B146))-Inputs!$B$71*COS(($B146)))-Inputs!$B$6)*(F146-Inputs!$B$6))/G146)&lt;$B$16,$B$7/2,$B$8/2)-Inputs!$B$39),IF(OR(Inputs!$C$72=0,((((Inputs!$C$72*COS(($B146))+Inputs!$B$72*SIN(($B146)))-Inputs!$B$5)*(E146-Inputs!$B$5)+((Inputs!$C$72*SIN(($B146))-Inputs!$B$72*COS(($B146)))-Inputs!$B$6)*(F146-Inputs!$B$6))/G146)&lt;0,((((Inputs!$C$72*COS(($B146))+Inputs!$B$72*SIN(($B146)))-Inputs!$B$5)*(E146-Inputs!$B$5)+((Inputs!$C$72*SIN(($B146))-Inputs!$B$72*COS(($B146)))-Inputs!$B$6)*(F146-Inputs!$B$6))/G146)&gt;G146-Inputs!$B$40),999,(ABS((E146-Inputs!$B$5)*((Inputs!$C$72*SIN(($B146))-Inputs!$B$72*COS(($B146)))-Inputs!$B$6)-(F146-Inputs!$B$6)*((Inputs!$C$72*COS(($B146))+Inputs!$B$72*SIN(($B146)))-Inputs!$B$5))/G146)-IF(((((Inputs!$C$72*COS(($B146))+Inputs!$B$72*SIN(($B146)))-Inputs!$B$5)*(E146-Inputs!$B$5)+((Inputs!$C$72*SIN(($B146))-Inputs!$B$72*COS(($B146)))-Inputs!$B$6)*(F146-Inputs!$B$6))/G146)&lt;$B$16,$B$7/2,$B$8/2)-Inputs!$B$39))</f>
        <v>50.05360998</v>
      </c>
      <c r="J146" s="76">
        <f>IF(AND(G146&gt;=$B$14,G146&lt;=$B$15,H146&lt;=Inputs!$B$38,I146&gt;=0,$D146=1),1,0)</f>
        <v>0</v>
      </c>
      <c r="K146" s="29">
        <f>Inputs!$B$11*COS((-$B146))-Inputs!$B$7*SIN((-$B146))</f>
        <v>-0.5526217506</v>
      </c>
      <c r="L146" s="29">
        <f>Inputs!$B$11*SIN((-$B146))+Inputs!$B$7*COS((-$B146))</f>
        <v>-221.783398</v>
      </c>
      <c r="M146" s="29">
        <f>SQRT((K146-Inputs!$B$5)^2+(L146-Inputs!$B$6)^2)</f>
        <v>407.8249275</v>
      </c>
      <c r="N146" s="29">
        <f>MAX(MAX(Inputs!$B$5,(Inputs!$B$5+(K146-Inputs!$B$5)*MIN(1,$B$16/M146)))+$B$7/2,MAX((Inputs!$B$5+(K146-Inputs!$B$5)*MIN(1,$B$16/M146)),K146)+Inputs!$B$41)</f>
        <v>291.8</v>
      </c>
      <c r="O146" s="29">
        <f>MIN(IF(OR(Inputs!$C$68=0,((((Inputs!$C$68*COS((-$B146))+Inputs!$B$68*SIN((-$B146)))-Inputs!$B$5)*(K146-Inputs!$B$5)+((Inputs!$C$68*SIN((-$B146))-Inputs!$B$68*COS((-$B146)))-Inputs!$B$6)*(L146-Inputs!$B$6))/M146)&lt;0,((((Inputs!$C$68*COS((-$B146))+Inputs!$B$68*SIN((-$B146)))-Inputs!$B$5)*(K146-Inputs!$B$5)+((Inputs!$C$68*SIN((-$B146))-Inputs!$B$68*COS((-$B146)))-Inputs!$B$6)*(L146-Inputs!$B$6))/M146)&gt;M146-Inputs!$B$40),999,(ABS((K146-Inputs!$B$5)*((Inputs!$C$68*SIN((-$B146))-Inputs!$B$68*COS((-$B146)))-Inputs!$B$6)-(L146-Inputs!$B$6)*((Inputs!$C$68*COS((-$B146))+Inputs!$B$68*SIN((-$B146)))-Inputs!$B$5))/M146)-IF(((((Inputs!$C$68*COS((-$B146))+Inputs!$B$68*SIN((-$B146)))-Inputs!$B$5)*(K146-Inputs!$B$5)+((Inputs!$C$68*SIN((-$B146))-Inputs!$B$68*COS((-$B146)))-Inputs!$B$6)*(L146-Inputs!$B$6))/M146)&lt;$B$16,$B$7/2,$B$8/2)-Inputs!$B$39),IF(OR(Inputs!$C$69=0,((((Inputs!$C$69*COS((-$B146))+Inputs!$B$69*SIN((-$B146)))-Inputs!$B$5)*(K146-Inputs!$B$5)+((Inputs!$C$69*SIN((-$B146))-Inputs!$B$69*COS((-$B146)))-Inputs!$B$6)*(L146-Inputs!$B$6))/M146)&lt;0,((((Inputs!$C$69*COS((-$B146))+Inputs!$B$69*SIN((-$B146)))-Inputs!$B$5)*(K146-Inputs!$B$5)+((Inputs!$C$69*SIN((-$B146))-Inputs!$B$69*COS((-$B146)))-Inputs!$B$6)*(L146-Inputs!$B$6))/M146)&gt;M146-Inputs!$B$40),999,(ABS((K146-Inputs!$B$5)*((Inputs!$C$69*SIN((-$B146))-Inputs!$B$69*COS((-$B146)))-Inputs!$B$6)-(L146-Inputs!$B$6)*((Inputs!$C$69*COS((-$B146))+Inputs!$B$69*SIN((-$B146)))-Inputs!$B$5))/M146)-IF(((((Inputs!$C$69*COS((-$B146))+Inputs!$B$69*SIN((-$B146)))-Inputs!$B$5)*(K146-Inputs!$B$5)+((Inputs!$C$69*SIN((-$B146))-Inputs!$B$69*COS((-$B146)))-Inputs!$B$6)*(L146-Inputs!$B$6))/M146)&lt;$B$16,$B$7/2,$B$8/2)-Inputs!$B$39),IF(OR(Inputs!$C$70=0,((((Inputs!$C$70*COS((-$B146))+Inputs!$B$70*SIN((-$B146)))-Inputs!$B$5)*(K146-Inputs!$B$5)+((Inputs!$C$70*SIN((-$B146))-Inputs!$B$70*COS((-$B146)))-Inputs!$B$6)*(L146-Inputs!$B$6))/M146)&lt;0,((((Inputs!$C$70*COS((-$B146))+Inputs!$B$70*SIN((-$B146)))-Inputs!$B$5)*(K146-Inputs!$B$5)+((Inputs!$C$70*SIN((-$B146))-Inputs!$B$70*COS((-$B146)))-Inputs!$B$6)*(L146-Inputs!$B$6))/M146)&gt;M146-Inputs!$B$40),999,(ABS((K146-Inputs!$B$5)*((Inputs!$C$70*SIN((-$B146))-Inputs!$B$70*COS((-$B146)))-Inputs!$B$6)-(L146-Inputs!$B$6)*((Inputs!$C$70*COS((-$B146))+Inputs!$B$70*SIN((-$B146)))-Inputs!$B$5))/M146)-IF(((((Inputs!$C$70*COS((-$B146))+Inputs!$B$70*SIN((-$B146)))-Inputs!$B$5)*(K146-Inputs!$B$5)+((Inputs!$C$70*SIN((-$B146))-Inputs!$B$70*COS((-$B146)))-Inputs!$B$6)*(L146-Inputs!$B$6))/M146)&lt;$B$16,$B$7/2,$B$8/2)-Inputs!$B$39),IF(OR(Inputs!$C$71=0,((((Inputs!$C$71*COS((-$B146))+Inputs!$B$71*SIN((-$B146)))-Inputs!$B$5)*(K146-Inputs!$B$5)+((Inputs!$C$71*SIN((-$B146))-Inputs!$B$71*COS((-$B146)))-Inputs!$B$6)*(L146-Inputs!$B$6))/M146)&lt;0,((((Inputs!$C$71*COS((-$B146))+Inputs!$B$71*SIN((-$B146)))-Inputs!$B$5)*(K146-Inputs!$B$5)+((Inputs!$C$71*SIN((-$B146))-Inputs!$B$71*COS((-$B146)))-Inputs!$B$6)*(L146-Inputs!$B$6))/M146)&gt;M146-Inputs!$B$40),999,(ABS((K146-Inputs!$B$5)*((Inputs!$C$71*SIN((-$B146))-Inputs!$B$71*COS((-$B146)))-Inputs!$B$6)-(L146-Inputs!$B$6)*((Inputs!$C$71*COS((-$B146))+Inputs!$B$71*SIN((-$B146)))-Inputs!$B$5))/M146)-IF(((((Inputs!$C$71*COS((-$B146))+Inputs!$B$71*SIN((-$B146)))-Inputs!$B$5)*(K146-Inputs!$B$5)+((Inputs!$C$71*SIN((-$B146))-Inputs!$B$71*COS((-$B146)))-Inputs!$B$6)*(L146-Inputs!$B$6))/M146)&lt;$B$16,$B$7/2,$B$8/2)-Inputs!$B$39),IF(OR(Inputs!$C$72=0,((((Inputs!$C$72*COS((-$B146))+Inputs!$B$72*SIN((-$B146)))-Inputs!$B$5)*(K146-Inputs!$B$5)+((Inputs!$C$72*SIN((-$B146))-Inputs!$B$72*COS((-$B146)))-Inputs!$B$6)*(L146-Inputs!$B$6))/M146)&lt;0,((((Inputs!$C$72*COS((-$B146))+Inputs!$B$72*SIN((-$B146)))-Inputs!$B$5)*(K146-Inputs!$B$5)+((Inputs!$C$72*SIN((-$B146))-Inputs!$B$72*COS((-$B146)))-Inputs!$B$6)*(L146-Inputs!$B$6))/M146)&gt;M146-Inputs!$B$40),999,(ABS((K146-Inputs!$B$5)*((Inputs!$C$72*SIN((-$B146))-Inputs!$B$72*COS((-$B146)))-Inputs!$B$6)-(L146-Inputs!$B$6)*((Inputs!$C$72*COS((-$B146))+Inputs!$B$72*SIN((-$B146)))-Inputs!$B$5))/M146)-IF(((((Inputs!$C$72*COS((-$B146))+Inputs!$B$72*SIN((-$B146)))-Inputs!$B$5)*(K146-Inputs!$B$5)+((Inputs!$C$72*SIN((-$B146))-Inputs!$B$72*COS((-$B146)))-Inputs!$B$6)*(L146-Inputs!$B$6))/M146)&lt;$B$16,$B$7/2,$B$8/2)-Inputs!$B$39))</f>
        <v>18.21363598</v>
      </c>
      <c r="P146" s="76">
        <f>IF(AND(M146&gt;=$B$14,M146&lt;=$B$15,N146&lt;=Inputs!$B$38,O146&gt;=0,$D146=1),1,0)</f>
        <v>0</v>
      </c>
    </row>
    <row r="147" ht="15.75" customHeight="1">
      <c r="A147" s="23">
        <v>26.0</v>
      </c>
      <c r="B147" s="40">
        <f t="shared" si="4"/>
        <v>0.4537856055</v>
      </c>
      <c r="C147" s="29">
        <f>MAX(Inputs!$C$68*COS($B147)+Inputs!$B$68*ABS(SIN($B147)),Inputs!$C$69*COS($B147)+Inputs!$B$69*ABS(SIN($B147)),Inputs!$C$70*COS($B147)+Inputs!$B$70*ABS(SIN($B147)),Inputs!$C$71*COS($B147)+Inputs!$B$71*ABS(SIN($B147)),Inputs!$C$72*COS($B147)+Inputs!$B$72*ABS(SIN($B147)))</f>
        <v>245.7736617</v>
      </c>
      <c r="D147" s="108">
        <f>IF(C147&lt;=Inputs!$B$38,1,0)</f>
        <v>1</v>
      </c>
      <c r="E147" s="29">
        <f>Inputs!$B$11*COS(($B147))-Inputs!$B$7*SIN(($B147))</f>
        <v>173.8281327</v>
      </c>
      <c r="F147" s="29">
        <f>Inputs!$B$11*SIN(($B147))+Inputs!$B$7*COS(($B147))</f>
        <v>-137.738743</v>
      </c>
      <c r="G147" s="29">
        <f>SQRT((E147-Inputs!$B$5)^2+(F147-Inputs!$B$6)^2)</f>
        <v>249.6434724</v>
      </c>
      <c r="H147" s="29">
        <f>MAX(MAX(Inputs!$B$5,(Inputs!$B$5+(E147-Inputs!$B$5)*MIN(1,$B$16/G147)))+$B$7/2,MAX((Inputs!$B$5+(E147-Inputs!$B$5)*MIN(1,$B$16/G147)),E147)+Inputs!$B$41)</f>
        <v>291.8</v>
      </c>
      <c r="I147" s="29">
        <f>MIN(IF(OR(Inputs!$C$68=0,((((Inputs!$C$68*COS(($B147))+Inputs!$B$68*SIN(($B147)))-Inputs!$B$5)*(E147-Inputs!$B$5)+((Inputs!$C$68*SIN(($B147))-Inputs!$B$68*COS(($B147)))-Inputs!$B$6)*(F147-Inputs!$B$6))/G147)&lt;0,((((Inputs!$C$68*COS(($B147))+Inputs!$B$68*SIN(($B147)))-Inputs!$B$5)*(E147-Inputs!$B$5)+((Inputs!$C$68*SIN(($B147))-Inputs!$B$68*COS(($B147)))-Inputs!$B$6)*(F147-Inputs!$B$6))/G147)&gt;G147-Inputs!$B$40),999,(ABS((E147-Inputs!$B$5)*((Inputs!$C$68*SIN(($B147))-Inputs!$B$68*COS(($B147)))-Inputs!$B$6)-(F147-Inputs!$B$6)*((Inputs!$C$68*COS(($B147))+Inputs!$B$68*SIN(($B147)))-Inputs!$B$5))/G147)-IF(((((Inputs!$C$68*COS(($B147))+Inputs!$B$68*SIN(($B147)))-Inputs!$B$5)*(E147-Inputs!$B$5)+((Inputs!$C$68*SIN(($B147))-Inputs!$B$68*COS(($B147)))-Inputs!$B$6)*(F147-Inputs!$B$6))/G147)&lt;$B$16,$B$7/2,$B$8/2)-Inputs!$B$39),IF(OR(Inputs!$C$69=0,((((Inputs!$C$69*COS(($B147))+Inputs!$B$69*SIN(($B147)))-Inputs!$B$5)*(E147-Inputs!$B$5)+((Inputs!$C$69*SIN(($B147))-Inputs!$B$69*COS(($B147)))-Inputs!$B$6)*(F147-Inputs!$B$6))/G147)&lt;0,((((Inputs!$C$69*COS(($B147))+Inputs!$B$69*SIN(($B147)))-Inputs!$B$5)*(E147-Inputs!$B$5)+((Inputs!$C$69*SIN(($B147))-Inputs!$B$69*COS(($B147)))-Inputs!$B$6)*(F147-Inputs!$B$6))/G147)&gt;G147-Inputs!$B$40),999,(ABS((E147-Inputs!$B$5)*((Inputs!$C$69*SIN(($B147))-Inputs!$B$69*COS(($B147)))-Inputs!$B$6)-(F147-Inputs!$B$6)*((Inputs!$C$69*COS(($B147))+Inputs!$B$69*SIN(($B147)))-Inputs!$B$5))/G147)-IF(((((Inputs!$C$69*COS(($B147))+Inputs!$B$69*SIN(($B147)))-Inputs!$B$5)*(E147-Inputs!$B$5)+((Inputs!$C$69*SIN(($B147))-Inputs!$B$69*COS(($B147)))-Inputs!$B$6)*(F147-Inputs!$B$6))/G147)&lt;$B$16,$B$7/2,$B$8/2)-Inputs!$B$39),IF(OR(Inputs!$C$70=0,((((Inputs!$C$70*COS(($B147))+Inputs!$B$70*SIN(($B147)))-Inputs!$B$5)*(E147-Inputs!$B$5)+((Inputs!$C$70*SIN(($B147))-Inputs!$B$70*COS(($B147)))-Inputs!$B$6)*(F147-Inputs!$B$6))/G147)&lt;0,((((Inputs!$C$70*COS(($B147))+Inputs!$B$70*SIN(($B147)))-Inputs!$B$5)*(E147-Inputs!$B$5)+((Inputs!$C$70*SIN(($B147))-Inputs!$B$70*COS(($B147)))-Inputs!$B$6)*(F147-Inputs!$B$6))/G147)&gt;G147-Inputs!$B$40),999,(ABS((E147-Inputs!$B$5)*((Inputs!$C$70*SIN(($B147))-Inputs!$B$70*COS(($B147)))-Inputs!$B$6)-(F147-Inputs!$B$6)*((Inputs!$C$70*COS(($B147))+Inputs!$B$70*SIN(($B147)))-Inputs!$B$5))/G147)-IF(((((Inputs!$C$70*COS(($B147))+Inputs!$B$70*SIN(($B147)))-Inputs!$B$5)*(E147-Inputs!$B$5)+((Inputs!$C$70*SIN(($B147))-Inputs!$B$70*COS(($B147)))-Inputs!$B$6)*(F147-Inputs!$B$6))/G147)&lt;$B$16,$B$7/2,$B$8/2)-Inputs!$B$39),IF(OR(Inputs!$C$71=0,((((Inputs!$C$71*COS(($B147))+Inputs!$B$71*SIN(($B147)))-Inputs!$B$5)*(E147-Inputs!$B$5)+((Inputs!$C$71*SIN(($B147))-Inputs!$B$71*COS(($B147)))-Inputs!$B$6)*(F147-Inputs!$B$6))/G147)&lt;0,((((Inputs!$C$71*COS(($B147))+Inputs!$B$71*SIN(($B147)))-Inputs!$B$5)*(E147-Inputs!$B$5)+((Inputs!$C$71*SIN(($B147))-Inputs!$B$71*COS(($B147)))-Inputs!$B$6)*(F147-Inputs!$B$6))/G147)&gt;G147-Inputs!$B$40),999,(ABS((E147-Inputs!$B$5)*((Inputs!$C$71*SIN(($B147))-Inputs!$B$71*COS(($B147)))-Inputs!$B$6)-(F147-Inputs!$B$6)*((Inputs!$C$71*COS(($B147))+Inputs!$B$71*SIN(($B147)))-Inputs!$B$5))/G147)-IF(((((Inputs!$C$71*COS(($B147))+Inputs!$B$71*SIN(($B147)))-Inputs!$B$5)*(E147-Inputs!$B$5)+((Inputs!$C$71*SIN(($B147))-Inputs!$B$71*COS(($B147)))-Inputs!$B$6)*(F147-Inputs!$B$6))/G147)&lt;$B$16,$B$7/2,$B$8/2)-Inputs!$B$39),IF(OR(Inputs!$C$72=0,((((Inputs!$C$72*COS(($B147))+Inputs!$B$72*SIN(($B147)))-Inputs!$B$5)*(E147-Inputs!$B$5)+((Inputs!$C$72*SIN(($B147))-Inputs!$B$72*COS(($B147)))-Inputs!$B$6)*(F147-Inputs!$B$6))/G147)&lt;0,((((Inputs!$C$72*COS(($B147))+Inputs!$B$72*SIN(($B147)))-Inputs!$B$5)*(E147-Inputs!$B$5)+((Inputs!$C$72*SIN(($B147))-Inputs!$B$72*COS(($B147)))-Inputs!$B$6)*(F147-Inputs!$B$6))/G147)&gt;G147-Inputs!$B$40),999,(ABS((E147-Inputs!$B$5)*((Inputs!$C$72*SIN(($B147))-Inputs!$B$72*COS(($B147)))-Inputs!$B$6)-(F147-Inputs!$B$6)*((Inputs!$C$72*COS(($B147))+Inputs!$B$72*SIN(($B147)))-Inputs!$B$5))/G147)-IF(((((Inputs!$C$72*COS(($B147))+Inputs!$B$72*SIN(($B147)))-Inputs!$B$5)*(E147-Inputs!$B$5)+((Inputs!$C$72*SIN(($B147))-Inputs!$B$72*COS(($B147)))-Inputs!$B$6)*(F147-Inputs!$B$6))/G147)&lt;$B$16,$B$7/2,$B$8/2)-Inputs!$B$39))</f>
        <v>50.21690827</v>
      </c>
      <c r="J147" s="76">
        <f>IF(AND(G147&gt;=$B$14,G147&lt;=$B$15,H147&lt;=Inputs!$B$38,I147&gt;=0,$D147=1),1,0)</f>
        <v>0</v>
      </c>
      <c r="K147" s="29">
        <f>Inputs!$B$11*COS((-$B147))-Inputs!$B$7*SIN((-$B147))</f>
        <v>-1.52032605</v>
      </c>
      <c r="L147" s="29">
        <f>Inputs!$B$11*SIN((-$B147))+Inputs!$B$7*COS((-$B147))</f>
        <v>-221.7788755</v>
      </c>
      <c r="M147" s="29">
        <f>SQRT((K147-Inputs!$B$5)^2+(L147-Inputs!$B$6)^2)</f>
        <v>408.4166</v>
      </c>
      <c r="N147" s="29">
        <f>MAX(MAX(Inputs!$B$5,(Inputs!$B$5+(K147-Inputs!$B$5)*MIN(1,$B$16/M147)))+$B$7/2,MAX((Inputs!$B$5+(K147-Inputs!$B$5)*MIN(1,$B$16/M147)),K147)+Inputs!$B$41)</f>
        <v>291.8</v>
      </c>
      <c r="O147" s="29">
        <f>MIN(IF(OR(Inputs!$C$68=0,((((Inputs!$C$68*COS((-$B147))+Inputs!$B$68*SIN((-$B147)))-Inputs!$B$5)*(K147-Inputs!$B$5)+((Inputs!$C$68*SIN((-$B147))-Inputs!$B$68*COS((-$B147)))-Inputs!$B$6)*(L147-Inputs!$B$6))/M147)&lt;0,((((Inputs!$C$68*COS((-$B147))+Inputs!$B$68*SIN((-$B147)))-Inputs!$B$5)*(K147-Inputs!$B$5)+((Inputs!$C$68*SIN((-$B147))-Inputs!$B$68*COS((-$B147)))-Inputs!$B$6)*(L147-Inputs!$B$6))/M147)&gt;M147-Inputs!$B$40),999,(ABS((K147-Inputs!$B$5)*((Inputs!$C$68*SIN((-$B147))-Inputs!$B$68*COS((-$B147)))-Inputs!$B$6)-(L147-Inputs!$B$6)*((Inputs!$C$68*COS((-$B147))+Inputs!$B$68*SIN((-$B147)))-Inputs!$B$5))/M147)-IF(((((Inputs!$C$68*COS((-$B147))+Inputs!$B$68*SIN((-$B147)))-Inputs!$B$5)*(K147-Inputs!$B$5)+((Inputs!$C$68*SIN((-$B147))-Inputs!$B$68*COS((-$B147)))-Inputs!$B$6)*(L147-Inputs!$B$6))/M147)&lt;$B$16,$B$7/2,$B$8/2)-Inputs!$B$39),IF(OR(Inputs!$C$69=0,((((Inputs!$C$69*COS((-$B147))+Inputs!$B$69*SIN((-$B147)))-Inputs!$B$5)*(K147-Inputs!$B$5)+((Inputs!$C$69*SIN((-$B147))-Inputs!$B$69*COS((-$B147)))-Inputs!$B$6)*(L147-Inputs!$B$6))/M147)&lt;0,((((Inputs!$C$69*COS((-$B147))+Inputs!$B$69*SIN((-$B147)))-Inputs!$B$5)*(K147-Inputs!$B$5)+((Inputs!$C$69*SIN((-$B147))-Inputs!$B$69*COS((-$B147)))-Inputs!$B$6)*(L147-Inputs!$B$6))/M147)&gt;M147-Inputs!$B$40),999,(ABS((K147-Inputs!$B$5)*((Inputs!$C$69*SIN((-$B147))-Inputs!$B$69*COS((-$B147)))-Inputs!$B$6)-(L147-Inputs!$B$6)*((Inputs!$C$69*COS((-$B147))+Inputs!$B$69*SIN((-$B147)))-Inputs!$B$5))/M147)-IF(((((Inputs!$C$69*COS((-$B147))+Inputs!$B$69*SIN((-$B147)))-Inputs!$B$5)*(K147-Inputs!$B$5)+((Inputs!$C$69*SIN((-$B147))-Inputs!$B$69*COS((-$B147)))-Inputs!$B$6)*(L147-Inputs!$B$6))/M147)&lt;$B$16,$B$7/2,$B$8/2)-Inputs!$B$39),IF(OR(Inputs!$C$70=0,((((Inputs!$C$70*COS((-$B147))+Inputs!$B$70*SIN((-$B147)))-Inputs!$B$5)*(K147-Inputs!$B$5)+((Inputs!$C$70*SIN((-$B147))-Inputs!$B$70*COS((-$B147)))-Inputs!$B$6)*(L147-Inputs!$B$6))/M147)&lt;0,((((Inputs!$C$70*COS((-$B147))+Inputs!$B$70*SIN((-$B147)))-Inputs!$B$5)*(K147-Inputs!$B$5)+((Inputs!$C$70*SIN((-$B147))-Inputs!$B$70*COS((-$B147)))-Inputs!$B$6)*(L147-Inputs!$B$6))/M147)&gt;M147-Inputs!$B$40),999,(ABS((K147-Inputs!$B$5)*((Inputs!$C$70*SIN((-$B147))-Inputs!$B$70*COS((-$B147)))-Inputs!$B$6)-(L147-Inputs!$B$6)*((Inputs!$C$70*COS((-$B147))+Inputs!$B$70*SIN((-$B147)))-Inputs!$B$5))/M147)-IF(((((Inputs!$C$70*COS((-$B147))+Inputs!$B$70*SIN((-$B147)))-Inputs!$B$5)*(K147-Inputs!$B$5)+((Inputs!$C$70*SIN((-$B147))-Inputs!$B$70*COS((-$B147)))-Inputs!$B$6)*(L147-Inputs!$B$6))/M147)&lt;$B$16,$B$7/2,$B$8/2)-Inputs!$B$39),IF(OR(Inputs!$C$71=0,((((Inputs!$C$71*COS((-$B147))+Inputs!$B$71*SIN((-$B147)))-Inputs!$B$5)*(K147-Inputs!$B$5)+((Inputs!$C$71*SIN((-$B147))-Inputs!$B$71*COS((-$B147)))-Inputs!$B$6)*(L147-Inputs!$B$6))/M147)&lt;0,((((Inputs!$C$71*COS((-$B147))+Inputs!$B$71*SIN((-$B147)))-Inputs!$B$5)*(K147-Inputs!$B$5)+((Inputs!$C$71*SIN((-$B147))-Inputs!$B$71*COS((-$B147)))-Inputs!$B$6)*(L147-Inputs!$B$6))/M147)&gt;M147-Inputs!$B$40),999,(ABS((K147-Inputs!$B$5)*((Inputs!$C$71*SIN((-$B147))-Inputs!$B$71*COS((-$B147)))-Inputs!$B$6)-(L147-Inputs!$B$6)*((Inputs!$C$71*COS((-$B147))+Inputs!$B$71*SIN((-$B147)))-Inputs!$B$5))/M147)-IF(((((Inputs!$C$71*COS((-$B147))+Inputs!$B$71*SIN((-$B147)))-Inputs!$B$5)*(K147-Inputs!$B$5)+((Inputs!$C$71*SIN((-$B147))-Inputs!$B$71*COS((-$B147)))-Inputs!$B$6)*(L147-Inputs!$B$6))/M147)&lt;$B$16,$B$7/2,$B$8/2)-Inputs!$B$39),IF(OR(Inputs!$C$72=0,((((Inputs!$C$72*COS((-$B147))+Inputs!$B$72*SIN((-$B147)))-Inputs!$B$5)*(K147-Inputs!$B$5)+((Inputs!$C$72*SIN((-$B147))-Inputs!$B$72*COS((-$B147)))-Inputs!$B$6)*(L147-Inputs!$B$6))/M147)&lt;0,((((Inputs!$C$72*COS((-$B147))+Inputs!$B$72*SIN((-$B147)))-Inputs!$B$5)*(K147-Inputs!$B$5)+((Inputs!$C$72*SIN((-$B147))-Inputs!$B$72*COS((-$B147)))-Inputs!$B$6)*(L147-Inputs!$B$6))/M147)&gt;M147-Inputs!$B$40),999,(ABS((K147-Inputs!$B$5)*((Inputs!$C$72*SIN((-$B147))-Inputs!$B$72*COS((-$B147)))-Inputs!$B$6)-(L147-Inputs!$B$6)*((Inputs!$C$72*COS((-$B147))+Inputs!$B$72*SIN((-$B147)))-Inputs!$B$5))/M147)-IF(((((Inputs!$C$72*COS((-$B147))+Inputs!$B$72*SIN((-$B147)))-Inputs!$B$5)*(K147-Inputs!$B$5)+((Inputs!$C$72*SIN((-$B147))-Inputs!$B$72*COS((-$B147)))-Inputs!$B$6)*(L147-Inputs!$B$6))/M147)&lt;$B$16,$B$7/2,$B$8/2)-Inputs!$B$39))</f>
        <v>17.87679242</v>
      </c>
      <c r="P147" s="76">
        <f>IF(AND(M147&gt;=$B$14,M147&lt;=$B$15,N147&lt;=Inputs!$B$38,O147&gt;=0,$D147=1),1,0)</f>
        <v>0</v>
      </c>
    </row>
    <row r="148" ht="15.75" customHeight="1">
      <c r="A148" s="23">
        <v>26.25</v>
      </c>
      <c r="B148" s="40">
        <f t="shared" si="4"/>
        <v>0.4581489286</v>
      </c>
      <c r="C148" s="29">
        <f>MAX(Inputs!$C$68*COS($B148)+Inputs!$B$68*ABS(SIN($B148)),Inputs!$C$69*COS($B148)+Inputs!$B$69*ABS(SIN($B148)),Inputs!$C$70*COS($B148)+Inputs!$B$70*ABS(SIN($B148)),Inputs!$C$71*COS($B148)+Inputs!$B$71*ABS(SIN($B148)),Inputs!$C$72*COS($B148)+Inputs!$B$72*ABS(SIN($B148)))</f>
        <v>247.183717</v>
      </c>
      <c r="D148" s="108">
        <f>IF(C148&lt;=Inputs!$B$38,1,0)</f>
        <v>1</v>
      </c>
      <c r="E148" s="29">
        <f>Inputs!$B$11*COS(($B148))-Inputs!$B$7*SIN(($B148))</f>
        <v>174.4274747</v>
      </c>
      <c r="F148" s="29">
        <f>Inputs!$B$11*SIN(($B148))+Inputs!$B$7*COS(($B148))</f>
        <v>-136.9789659</v>
      </c>
      <c r="G148" s="29">
        <f>SQRT((E148-Inputs!$B$5)^2+(F148-Inputs!$B$6)^2)</f>
        <v>248.7372848</v>
      </c>
      <c r="H148" s="29">
        <f>MAX(MAX(Inputs!$B$5,(Inputs!$B$5+(E148-Inputs!$B$5)*MIN(1,$B$16/G148)))+$B$7/2,MAX((Inputs!$B$5+(E148-Inputs!$B$5)*MIN(1,$B$16/G148)),E148)+Inputs!$B$41)</f>
        <v>291.8</v>
      </c>
      <c r="I148" s="29">
        <f>MIN(IF(OR(Inputs!$C$68=0,((((Inputs!$C$68*COS(($B148))+Inputs!$B$68*SIN(($B148)))-Inputs!$B$5)*(E148-Inputs!$B$5)+((Inputs!$C$68*SIN(($B148))-Inputs!$B$68*COS(($B148)))-Inputs!$B$6)*(F148-Inputs!$B$6))/G148)&lt;0,((((Inputs!$C$68*COS(($B148))+Inputs!$B$68*SIN(($B148)))-Inputs!$B$5)*(E148-Inputs!$B$5)+((Inputs!$C$68*SIN(($B148))-Inputs!$B$68*COS(($B148)))-Inputs!$B$6)*(F148-Inputs!$B$6))/G148)&gt;G148-Inputs!$B$40),999,(ABS((E148-Inputs!$B$5)*((Inputs!$C$68*SIN(($B148))-Inputs!$B$68*COS(($B148)))-Inputs!$B$6)-(F148-Inputs!$B$6)*((Inputs!$C$68*COS(($B148))+Inputs!$B$68*SIN(($B148)))-Inputs!$B$5))/G148)-IF(((((Inputs!$C$68*COS(($B148))+Inputs!$B$68*SIN(($B148)))-Inputs!$B$5)*(E148-Inputs!$B$5)+((Inputs!$C$68*SIN(($B148))-Inputs!$B$68*COS(($B148)))-Inputs!$B$6)*(F148-Inputs!$B$6))/G148)&lt;$B$16,$B$7/2,$B$8/2)-Inputs!$B$39),IF(OR(Inputs!$C$69=0,((((Inputs!$C$69*COS(($B148))+Inputs!$B$69*SIN(($B148)))-Inputs!$B$5)*(E148-Inputs!$B$5)+((Inputs!$C$69*SIN(($B148))-Inputs!$B$69*COS(($B148)))-Inputs!$B$6)*(F148-Inputs!$B$6))/G148)&lt;0,((((Inputs!$C$69*COS(($B148))+Inputs!$B$69*SIN(($B148)))-Inputs!$B$5)*(E148-Inputs!$B$5)+((Inputs!$C$69*SIN(($B148))-Inputs!$B$69*COS(($B148)))-Inputs!$B$6)*(F148-Inputs!$B$6))/G148)&gt;G148-Inputs!$B$40),999,(ABS((E148-Inputs!$B$5)*((Inputs!$C$69*SIN(($B148))-Inputs!$B$69*COS(($B148)))-Inputs!$B$6)-(F148-Inputs!$B$6)*((Inputs!$C$69*COS(($B148))+Inputs!$B$69*SIN(($B148)))-Inputs!$B$5))/G148)-IF(((((Inputs!$C$69*COS(($B148))+Inputs!$B$69*SIN(($B148)))-Inputs!$B$5)*(E148-Inputs!$B$5)+((Inputs!$C$69*SIN(($B148))-Inputs!$B$69*COS(($B148)))-Inputs!$B$6)*(F148-Inputs!$B$6))/G148)&lt;$B$16,$B$7/2,$B$8/2)-Inputs!$B$39),IF(OR(Inputs!$C$70=0,((((Inputs!$C$70*COS(($B148))+Inputs!$B$70*SIN(($B148)))-Inputs!$B$5)*(E148-Inputs!$B$5)+((Inputs!$C$70*SIN(($B148))-Inputs!$B$70*COS(($B148)))-Inputs!$B$6)*(F148-Inputs!$B$6))/G148)&lt;0,((((Inputs!$C$70*COS(($B148))+Inputs!$B$70*SIN(($B148)))-Inputs!$B$5)*(E148-Inputs!$B$5)+((Inputs!$C$70*SIN(($B148))-Inputs!$B$70*COS(($B148)))-Inputs!$B$6)*(F148-Inputs!$B$6))/G148)&gt;G148-Inputs!$B$40),999,(ABS((E148-Inputs!$B$5)*((Inputs!$C$70*SIN(($B148))-Inputs!$B$70*COS(($B148)))-Inputs!$B$6)-(F148-Inputs!$B$6)*((Inputs!$C$70*COS(($B148))+Inputs!$B$70*SIN(($B148)))-Inputs!$B$5))/G148)-IF(((((Inputs!$C$70*COS(($B148))+Inputs!$B$70*SIN(($B148)))-Inputs!$B$5)*(E148-Inputs!$B$5)+((Inputs!$C$70*SIN(($B148))-Inputs!$B$70*COS(($B148)))-Inputs!$B$6)*(F148-Inputs!$B$6))/G148)&lt;$B$16,$B$7/2,$B$8/2)-Inputs!$B$39),IF(OR(Inputs!$C$71=0,((((Inputs!$C$71*COS(($B148))+Inputs!$B$71*SIN(($B148)))-Inputs!$B$5)*(E148-Inputs!$B$5)+((Inputs!$C$71*SIN(($B148))-Inputs!$B$71*COS(($B148)))-Inputs!$B$6)*(F148-Inputs!$B$6))/G148)&lt;0,((((Inputs!$C$71*COS(($B148))+Inputs!$B$71*SIN(($B148)))-Inputs!$B$5)*(E148-Inputs!$B$5)+((Inputs!$C$71*SIN(($B148))-Inputs!$B$71*COS(($B148)))-Inputs!$B$6)*(F148-Inputs!$B$6))/G148)&gt;G148-Inputs!$B$40),999,(ABS((E148-Inputs!$B$5)*((Inputs!$C$71*SIN(($B148))-Inputs!$B$71*COS(($B148)))-Inputs!$B$6)-(F148-Inputs!$B$6)*((Inputs!$C$71*COS(($B148))+Inputs!$B$71*SIN(($B148)))-Inputs!$B$5))/G148)-IF(((((Inputs!$C$71*COS(($B148))+Inputs!$B$71*SIN(($B148)))-Inputs!$B$5)*(E148-Inputs!$B$5)+((Inputs!$C$71*SIN(($B148))-Inputs!$B$71*COS(($B148)))-Inputs!$B$6)*(F148-Inputs!$B$6))/G148)&lt;$B$16,$B$7/2,$B$8/2)-Inputs!$B$39),IF(OR(Inputs!$C$72=0,((((Inputs!$C$72*COS(($B148))+Inputs!$B$72*SIN(($B148)))-Inputs!$B$5)*(E148-Inputs!$B$5)+((Inputs!$C$72*SIN(($B148))-Inputs!$B$72*COS(($B148)))-Inputs!$B$6)*(F148-Inputs!$B$6))/G148)&lt;0,((((Inputs!$C$72*COS(($B148))+Inputs!$B$72*SIN(($B148)))-Inputs!$B$5)*(E148-Inputs!$B$5)+((Inputs!$C$72*SIN(($B148))-Inputs!$B$72*COS(($B148)))-Inputs!$B$6)*(F148-Inputs!$B$6))/G148)&gt;G148-Inputs!$B$40),999,(ABS((E148-Inputs!$B$5)*((Inputs!$C$72*SIN(($B148))-Inputs!$B$72*COS(($B148)))-Inputs!$B$6)-(F148-Inputs!$B$6)*((Inputs!$C$72*COS(($B148))+Inputs!$B$72*SIN(($B148)))-Inputs!$B$5))/G148)-IF(((((Inputs!$C$72*COS(($B148))+Inputs!$B$72*SIN(($B148)))-Inputs!$B$5)*(E148-Inputs!$B$5)+((Inputs!$C$72*SIN(($B148))-Inputs!$B$72*COS(($B148)))-Inputs!$B$6)*(F148-Inputs!$B$6))/G148)&lt;$B$16,$B$7/2,$B$8/2)-Inputs!$B$39))</f>
        <v>50.37967473</v>
      </c>
      <c r="J148" s="76">
        <f>IF(AND(G148&gt;=$B$14,G148&lt;=$B$15,H148&lt;=Inputs!$B$38,I148&gt;=0,$D148=1),1,0)</f>
        <v>0</v>
      </c>
      <c r="K148" s="29">
        <f>Inputs!$B$11*COS((-$B148))-Inputs!$B$7*SIN((-$B148))</f>
        <v>-2.488001404</v>
      </c>
      <c r="L148" s="29">
        <f>Inputs!$B$11*SIN((-$B148))+Inputs!$B$7*COS((-$B148))</f>
        <v>-221.7701307</v>
      </c>
      <c r="M148" s="29">
        <f>SQRT((K148-Inputs!$B$5)^2+(L148-Inputs!$B$6)^2)</f>
        <v>409.0063665</v>
      </c>
      <c r="N148" s="29">
        <f>MAX(MAX(Inputs!$B$5,(Inputs!$B$5+(K148-Inputs!$B$5)*MIN(1,$B$16/M148)))+$B$7/2,MAX((Inputs!$B$5+(K148-Inputs!$B$5)*MIN(1,$B$16/M148)),K148)+Inputs!$B$41)</f>
        <v>291.8</v>
      </c>
      <c r="O148" s="29">
        <f>MIN(IF(OR(Inputs!$C$68=0,((((Inputs!$C$68*COS((-$B148))+Inputs!$B$68*SIN((-$B148)))-Inputs!$B$5)*(K148-Inputs!$B$5)+((Inputs!$C$68*SIN((-$B148))-Inputs!$B$68*COS((-$B148)))-Inputs!$B$6)*(L148-Inputs!$B$6))/M148)&lt;0,((((Inputs!$C$68*COS((-$B148))+Inputs!$B$68*SIN((-$B148)))-Inputs!$B$5)*(K148-Inputs!$B$5)+((Inputs!$C$68*SIN((-$B148))-Inputs!$B$68*COS((-$B148)))-Inputs!$B$6)*(L148-Inputs!$B$6))/M148)&gt;M148-Inputs!$B$40),999,(ABS((K148-Inputs!$B$5)*((Inputs!$C$68*SIN((-$B148))-Inputs!$B$68*COS((-$B148)))-Inputs!$B$6)-(L148-Inputs!$B$6)*((Inputs!$C$68*COS((-$B148))+Inputs!$B$68*SIN((-$B148)))-Inputs!$B$5))/M148)-IF(((((Inputs!$C$68*COS((-$B148))+Inputs!$B$68*SIN((-$B148)))-Inputs!$B$5)*(K148-Inputs!$B$5)+((Inputs!$C$68*SIN((-$B148))-Inputs!$B$68*COS((-$B148)))-Inputs!$B$6)*(L148-Inputs!$B$6))/M148)&lt;$B$16,$B$7/2,$B$8/2)-Inputs!$B$39),IF(OR(Inputs!$C$69=0,((((Inputs!$C$69*COS((-$B148))+Inputs!$B$69*SIN((-$B148)))-Inputs!$B$5)*(K148-Inputs!$B$5)+((Inputs!$C$69*SIN((-$B148))-Inputs!$B$69*COS((-$B148)))-Inputs!$B$6)*(L148-Inputs!$B$6))/M148)&lt;0,((((Inputs!$C$69*COS((-$B148))+Inputs!$B$69*SIN((-$B148)))-Inputs!$B$5)*(K148-Inputs!$B$5)+((Inputs!$C$69*SIN((-$B148))-Inputs!$B$69*COS((-$B148)))-Inputs!$B$6)*(L148-Inputs!$B$6))/M148)&gt;M148-Inputs!$B$40),999,(ABS((K148-Inputs!$B$5)*((Inputs!$C$69*SIN((-$B148))-Inputs!$B$69*COS((-$B148)))-Inputs!$B$6)-(L148-Inputs!$B$6)*((Inputs!$C$69*COS((-$B148))+Inputs!$B$69*SIN((-$B148)))-Inputs!$B$5))/M148)-IF(((((Inputs!$C$69*COS((-$B148))+Inputs!$B$69*SIN((-$B148)))-Inputs!$B$5)*(K148-Inputs!$B$5)+((Inputs!$C$69*SIN((-$B148))-Inputs!$B$69*COS((-$B148)))-Inputs!$B$6)*(L148-Inputs!$B$6))/M148)&lt;$B$16,$B$7/2,$B$8/2)-Inputs!$B$39),IF(OR(Inputs!$C$70=0,((((Inputs!$C$70*COS((-$B148))+Inputs!$B$70*SIN((-$B148)))-Inputs!$B$5)*(K148-Inputs!$B$5)+((Inputs!$C$70*SIN((-$B148))-Inputs!$B$70*COS((-$B148)))-Inputs!$B$6)*(L148-Inputs!$B$6))/M148)&lt;0,((((Inputs!$C$70*COS((-$B148))+Inputs!$B$70*SIN((-$B148)))-Inputs!$B$5)*(K148-Inputs!$B$5)+((Inputs!$C$70*SIN((-$B148))-Inputs!$B$70*COS((-$B148)))-Inputs!$B$6)*(L148-Inputs!$B$6))/M148)&gt;M148-Inputs!$B$40),999,(ABS((K148-Inputs!$B$5)*((Inputs!$C$70*SIN((-$B148))-Inputs!$B$70*COS((-$B148)))-Inputs!$B$6)-(L148-Inputs!$B$6)*((Inputs!$C$70*COS((-$B148))+Inputs!$B$70*SIN((-$B148)))-Inputs!$B$5))/M148)-IF(((((Inputs!$C$70*COS((-$B148))+Inputs!$B$70*SIN((-$B148)))-Inputs!$B$5)*(K148-Inputs!$B$5)+((Inputs!$C$70*SIN((-$B148))-Inputs!$B$70*COS((-$B148)))-Inputs!$B$6)*(L148-Inputs!$B$6))/M148)&lt;$B$16,$B$7/2,$B$8/2)-Inputs!$B$39),IF(OR(Inputs!$C$71=0,((((Inputs!$C$71*COS((-$B148))+Inputs!$B$71*SIN((-$B148)))-Inputs!$B$5)*(K148-Inputs!$B$5)+((Inputs!$C$71*SIN((-$B148))-Inputs!$B$71*COS((-$B148)))-Inputs!$B$6)*(L148-Inputs!$B$6))/M148)&lt;0,((((Inputs!$C$71*COS((-$B148))+Inputs!$B$71*SIN((-$B148)))-Inputs!$B$5)*(K148-Inputs!$B$5)+((Inputs!$C$71*SIN((-$B148))-Inputs!$B$71*COS((-$B148)))-Inputs!$B$6)*(L148-Inputs!$B$6))/M148)&gt;M148-Inputs!$B$40),999,(ABS((K148-Inputs!$B$5)*((Inputs!$C$71*SIN((-$B148))-Inputs!$B$71*COS((-$B148)))-Inputs!$B$6)-(L148-Inputs!$B$6)*((Inputs!$C$71*COS((-$B148))+Inputs!$B$71*SIN((-$B148)))-Inputs!$B$5))/M148)-IF(((((Inputs!$C$71*COS((-$B148))+Inputs!$B$71*SIN((-$B148)))-Inputs!$B$5)*(K148-Inputs!$B$5)+((Inputs!$C$71*SIN((-$B148))-Inputs!$B$71*COS((-$B148)))-Inputs!$B$6)*(L148-Inputs!$B$6))/M148)&lt;$B$16,$B$7/2,$B$8/2)-Inputs!$B$39),IF(OR(Inputs!$C$72=0,((((Inputs!$C$72*COS((-$B148))+Inputs!$B$72*SIN((-$B148)))-Inputs!$B$5)*(K148-Inputs!$B$5)+((Inputs!$C$72*SIN((-$B148))-Inputs!$B$72*COS((-$B148)))-Inputs!$B$6)*(L148-Inputs!$B$6))/M148)&lt;0,((((Inputs!$C$72*COS((-$B148))+Inputs!$B$72*SIN((-$B148)))-Inputs!$B$5)*(K148-Inputs!$B$5)+((Inputs!$C$72*SIN((-$B148))-Inputs!$B$72*COS((-$B148)))-Inputs!$B$6)*(L148-Inputs!$B$6))/M148)&gt;M148-Inputs!$B$40),999,(ABS((K148-Inputs!$B$5)*((Inputs!$C$72*SIN((-$B148))-Inputs!$B$72*COS((-$B148)))-Inputs!$B$6)-(L148-Inputs!$B$6)*((Inputs!$C$72*COS((-$B148))+Inputs!$B$72*SIN((-$B148)))-Inputs!$B$5))/M148)-IF(((((Inputs!$C$72*COS((-$B148))+Inputs!$B$72*SIN((-$B148)))-Inputs!$B$5)*(K148-Inputs!$B$5)+((Inputs!$C$72*SIN((-$B148))-Inputs!$B$72*COS((-$B148)))-Inputs!$B$6)*(L148-Inputs!$B$6))/M148)&lt;$B$16,$B$7/2,$B$8/2)-Inputs!$B$39))</f>
        <v>17.53984612</v>
      </c>
      <c r="P148" s="76">
        <f>IF(AND(M148&gt;=$B$14,M148&lt;=$B$15,N148&lt;=Inputs!$B$38,O148&gt;=0,$D148=1),1,0)</f>
        <v>0</v>
      </c>
    </row>
    <row r="149" ht="15.75" customHeight="1">
      <c r="A149" s="23">
        <v>26.5</v>
      </c>
      <c r="B149" s="40">
        <f t="shared" si="4"/>
        <v>0.4625122518</v>
      </c>
      <c r="C149" s="29">
        <f>MAX(Inputs!$C$68*COS($B149)+Inputs!$B$68*ABS(SIN($B149)),Inputs!$C$69*COS($B149)+Inputs!$B$69*ABS(SIN($B149)),Inputs!$C$70*COS($B149)+Inputs!$B$70*ABS(SIN($B149)),Inputs!$C$71*COS($B149)+Inputs!$B$71*ABS(SIN($B149)),Inputs!$C$72*COS($B149)+Inputs!$B$72*ABS(SIN($B149)))</f>
        <v>248.5890663</v>
      </c>
      <c r="D149" s="108">
        <f>IF(C149&lt;=Inputs!$B$38,1,0)</f>
        <v>1</v>
      </c>
      <c r="E149" s="29">
        <f>Inputs!$B$11*COS(($B149))-Inputs!$B$7*SIN(($B149))</f>
        <v>175.0234959</v>
      </c>
      <c r="F149" s="29">
        <f>Inputs!$B$11*SIN(($B149))+Inputs!$B$7*COS(($B149))</f>
        <v>-136.2165809</v>
      </c>
      <c r="G149" s="29">
        <f>SQRT((E149-Inputs!$B$5)^2+(F149-Inputs!$B$6)^2)</f>
        <v>247.8300815</v>
      </c>
      <c r="H149" s="29">
        <f>MAX(MAX(Inputs!$B$5,(Inputs!$B$5+(E149-Inputs!$B$5)*MIN(1,$B$16/G149)))+$B$7/2,MAX((Inputs!$B$5+(E149-Inputs!$B$5)*MIN(1,$B$16/G149)),E149)+Inputs!$B$41)</f>
        <v>291.8</v>
      </c>
      <c r="I149" s="29">
        <f>MIN(IF(OR(Inputs!$C$68=0,((((Inputs!$C$68*COS(($B149))+Inputs!$B$68*SIN(($B149)))-Inputs!$B$5)*(E149-Inputs!$B$5)+((Inputs!$C$68*SIN(($B149))-Inputs!$B$68*COS(($B149)))-Inputs!$B$6)*(F149-Inputs!$B$6))/G149)&lt;0,((((Inputs!$C$68*COS(($B149))+Inputs!$B$68*SIN(($B149)))-Inputs!$B$5)*(E149-Inputs!$B$5)+((Inputs!$C$68*SIN(($B149))-Inputs!$B$68*COS(($B149)))-Inputs!$B$6)*(F149-Inputs!$B$6))/G149)&gt;G149-Inputs!$B$40),999,(ABS((E149-Inputs!$B$5)*((Inputs!$C$68*SIN(($B149))-Inputs!$B$68*COS(($B149)))-Inputs!$B$6)-(F149-Inputs!$B$6)*((Inputs!$C$68*COS(($B149))+Inputs!$B$68*SIN(($B149)))-Inputs!$B$5))/G149)-IF(((((Inputs!$C$68*COS(($B149))+Inputs!$B$68*SIN(($B149)))-Inputs!$B$5)*(E149-Inputs!$B$5)+((Inputs!$C$68*SIN(($B149))-Inputs!$B$68*COS(($B149)))-Inputs!$B$6)*(F149-Inputs!$B$6))/G149)&lt;$B$16,$B$7/2,$B$8/2)-Inputs!$B$39),IF(OR(Inputs!$C$69=0,((((Inputs!$C$69*COS(($B149))+Inputs!$B$69*SIN(($B149)))-Inputs!$B$5)*(E149-Inputs!$B$5)+((Inputs!$C$69*SIN(($B149))-Inputs!$B$69*COS(($B149)))-Inputs!$B$6)*(F149-Inputs!$B$6))/G149)&lt;0,((((Inputs!$C$69*COS(($B149))+Inputs!$B$69*SIN(($B149)))-Inputs!$B$5)*(E149-Inputs!$B$5)+((Inputs!$C$69*SIN(($B149))-Inputs!$B$69*COS(($B149)))-Inputs!$B$6)*(F149-Inputs!$B$6))/G149)&gt;G149-Inputs!$B$40),999,(ABS((E149-Inputs!$B$5)*((Inputs!$C$69*SIN(($B149))-Inputs!$B$69*COS(($B149)))-Inputs!$B$6)-(F149-Inputs!$B$6)*((Inputs!$C$69*COS(($B149))+Inputs!$B$69*SIN(($B149)))-Inputs!$B$5))/G149)-IF(((((Inputs!$C$69*COS(($B149))+Inputs!$B$69*SIN(($B149)))-Inputs!$B$5)*(E149-Inputs!$B$5)+((Inputs!$C$69*SIN(($B149))-Inputs!$B$69*COS(($B149)))-Inputs!$B$6)*(F149-Inputs!$B$6))/G149)&lt;$B$16,$B$7/2,$B$8/2)-Inputs!$B$39),IF(OR(Inputs!$C$70=0,((((Inputs!$C$70*COS(($B149))+Inputs!$B$70*SIN(($B149)))-Inputs!$B$5)*(E149-Inputs!$B$5)+((Inputs!$C$70*SIN(($B149))-Inputs!$B$70*COS(($B149)))-Inputs!$B$6)*(F149-Inputs!$B$6))/G149)&lt;0,((((Inputs!$C$70*COS(($B149))+Inputs!$B$70*SIN(($B149)))-Inputs!$B$5)*(E149-Inputs!$B$5)+((Inputs!$C$70*SIN(($B149))-Inputs!$B$70*COS(($B149)))-Inputs!$B$6)*(F149-Inputs!$B$6))/G149)&gt;G149-Inputs!$B$40),999,(ABS((E149-Inputs!$B$5)*((Inputs!$C$70*SIN(($B149))-Inputs!$B$70*COS(($B149)))-Inputs!$B$6)-(F149-Inputs!$B$6)*((Inputs!$C$70*COS(($B149))+Inputs!$B$70*SIN(($B149)))-Inputs!$B$5))/G149)-IF(((((Inputs!$C$70*COS(($B149))+Inputs!$B$70*SIN(($B149)))-Inputs!$B$5)*(E149-Inputs!$B$5)+((Inputs!$C$70*SIN(($B149))-Inputs!$B$70*COS(($B149)))-Inputs!$B$6)*(F149-Inputs!$B$6))/G149)&lt;$B$16,$B$7/2,$B$8/2)-Inputs!$B$39),IF(OR(Inputs!$C$71=0,((((Inputs!$C$71*COS(($B149))+Inputs!$B$71*SIN(($B149)))-Inputs!$B$5)*(E149-Inputs!$B$5)+((Inputs!$C$71*SIN(($B149))-Inputs!$B$71*COS(($B149)))-Inputs!$B$6)*(F149-Inputs!$B$6))/G149)&lt;0,((((Inputs!$C$71*COS(($B149))+Inputs!$B$71*SIN(($B149)))-Inputs!$B$5)*(E149-Inputs!$B$5)+((Inputs!$C$71*SIN(($B149))-Inputs!$B$71*COS(($B149)))-Inputs!$B$6)*(F149-Inputs!$B$6))/G149)&gt;G149-Inputs!$B$40),999,(ABS((E149-Inputs!$B$5)*((Inputs!$C$71*SIN(($B149))-Inputs!$B$71*COS(($B149)))-Inputs!$B$6)-(F149-Inputs!$B$6)*((Inputs!$C$71*COS(($B149))+Inputs!$B$71*SIN(($B149)))-Inputs!$B$5))/G149)-IF(((((Inputs!$C$71*COS(($B149))+Inputs!$B$71*SIN(($B149)))-Inputs!$B$5)*(E149-Inputs!$B$5)+((Inputs!$C$71*SIN(($B149))-Inputs!$B$71*COS(($B149)))-Inputs!$B$6)*(F149-Inputs!$B$6))/G149)&lt;$B$16,$B$7/2,$B$8/2)-Inputs!$B$39),IF(OR(Inputs!$C$72=0,((((Inputs!$C$72*COS(($B149))+Inputs!$B$72*SIN(($B149)))-Inputs!$B$5)*(E149-Inputs!$B$5)+((Inputs!$C$72*SIN(($B149))-Inputs!$B$72*COS(($B149)))-Inputs!$B$6)*(F149-Inputs!$B$6))/G149)&lt;0,((((Inputs!$C$72*COS(($B149))+Inputs!$B$72*SIN(($B149)))-Inputs!$B$5)*(E149-Inputs!$B$5)+((Inputs!$C$72*SIN(($B149))-Inputs!$B$72*COS(($B149)))-Inputs!$B$6)*(F149-Inputs!$B$6))/G149)&gt;G149-Inputs!$B$40),999,(ABS((E149-Inputs!$B$5)*((Inputs!$C$72*SIN(($B149))-Inputs!$B$72*COS(($B149)))-Inputs!$B$6)-(F149-Inputs!$B$6)*((Inputs!$C$72*COS(($B149))+Inputs!$B$72*SIN(($B149)))-Inputs!$B$5))/G149)-IF(((((Inputs!$C$72*COS(($B149))+Inputs!$B$72*SIN(($B149)))-Inputs!$B$5)*(E149-Inputs!$B$5)+((Inputs!$C$72*SIN(($B149))-Inputs!$B$72*COS(($B149)))-Inputs!$B$6)*(F149-Inputs!$B$6))/G149)&lt;$B$16,$B$7/2,$B$8/2)-Inputs!$B$39))</f>
        <v>50.54190667</v>
      </c>
      <c r="J149" s="76">
        <f>IF(AND(G149&gt;=$B$14,G149&lt;=$B$15,H149&lt;=Inputs!$B$38,I149&gt;=0,$D149=1),1,0)</f>
        <v>0</v>
      </c>
      <c r="K149" s="29">
        <f>Inputs!$B$11*COS((-$B149))-Inputs!$B$7*SIN((-$B149))</f>
        <v>-3.455629391</v>
      </c>
      <c r="L149" s="29">
        <f>Inputs!$B$11*SIN((-$B149))+Inputs!$B$7*COS((-$B149))</f>
        <v>-221.7571637</v>
      </c>
      <c r="M149" s="29">
        <f>SQRT((K149-Inputs!$B$5)^2+(L149-Inputs!$B$6)^2)</f>
        <v>409.5942242</v>
      </c>
      <c r="N149" s="29">
        <f>MAX(MAX(Inputs!$B$5,(Inputs!$B$5+(K149-Inputs!$B$5)*MIN(1,$B$16/M149)))+$B$7/2,MAX((Inputs!$B$5+(K149-Inputs!$B$5)*MIN(1,$B$16/M149)),K149)+Inputs!$B$41)</f>
        <v>291.8</v>
      </c>
      <c r="O149" s="29">
        <f>MIN(IF(OR(Inputs!$C$68=0,((((Inputs!$C$68*COS((-$B149))+Inputs!$B$68*SIN((-$B149)))-Inputs!$B$5)*(K149-Inputs!$B$5)+((Inputs!$C$68*SIN((-$B149))-Inputs!$B$68*COS((-$B149)))-Inputs!$B$6)*(L149-Inputs!$B$6))/M149)&lt;0,((((Inputs!$C$68*COS((-$B149))+Inputs!$B$68*SIN((-$B149)))-Inputs!$B$5)*(K149-Inputs!$B$5)+((Inputs!$C$68*SIN((-$B149))-Inputs!$B$68*COS((-$B149)))-Inputs!$B$6)*(L149-Inputs!$B$6))/M149)&gt;M149-Inputs!$B$40),999,(ABS((K149-Inputs!$B$5)*((Inputs!$C$68*SIN((-$B149))-Inputs!$B$68*COS((-$B149)))-Inputs!$B$6)-(L149-Inputs!$B$6)*((Inputs!$C$68*COS((-$B149))+Inputs!$B$68*SIN((-$B149)))-Inputs!$B$5))/M149)-IF(((((Inputs!$C$68*COS((-$B149))+Inputs!$B$68*SIN((-$B149)))-Inputs!$B$5)*(K149-Inputs!$B$5)+((Inputs!$C$68*SIN((-$B149))-Inputs!$B$68*COS((-$B149)))-Inputs!$B$6)*(L149-Inputs!$B$6))/M149)&lt;$B$16,$B$7/2,$B$8/2)-Inputs!$B$39),IF(OR(Inputs!$C$69=0,((((Inputs!$C$69*COS((-$B149))+Inputs!$B$69*SIN((-$B149)))-Inputs!$B$5)*(K149-Inputs!$B$5)+((Inputs!$C$69*SIN((-$B149))-Inputs!$B$69*COS((-$B149)))-Inputs!$B$6)*(L149-Inputs!$B$6))/M149)&lt;0,((((Inputs!$C$69*COS((-$B149))+Inputs!$B$69*SIN((-$B149)))-Inputs!$B$5)*(K149-Inputs!$B$5)+((Inputs!$C$69*SIN((-$B149))-Inputs!$B$69*COS((-$B149)))-Inputs!$B$6)*(L149-Inputs!$B$6))/M149)&gt;M149-Inputs!$B$40),999,(ABS((K149-Inputs!$B$5)*((Inputs!$C$69*SIN((-$B149))-Inputs!$B$69*COS((-$B149)))-Inputs!$B$6)-(L149-Inputs!$B$6)*((Inputs!$C$69*COS((-$B149))+Inputs!$B$69*SIN((-$B149)))-Inputs!$B$5))/M149)-IF(((((Inputs!$C$69*COS((-$B149))+Inputs!$B$69*SIN((-$B149)))-Inputs!$B$5)*(K149-Inputs!$B$5)+((Inputs!$C$69*SIN((-$B149))-Inputs!$B$69*COS((-$B149)))-Inputs!$B$6)*(L149-Inputs!$B$6))/M149)&lt;$B$16,$B$7/2,$B$8/2)-Inputs!$B$39),IF(OR(Inputs!$C$70=0,((((Inputs!$C$70*COS((-$B149))+Inputs!$B$70*SIN((-$B149)))-Inputs!$B$5)*(K149-Inputs!$B$5)+((Inputs!$C$70*SIN((-$B149))-Inputs!$B$70*COS((-$B149)))-Inputs!$B$6)*(L149-Inputs!$B$6))/M149)&lt;0,((((Inputs!$C$70*COS((-$B149))+Inputs!$B$70*SIN((-$B149)))-Inputs!$B$5)*(K149-Inputs!$B$5)+((Inputs!$C$70*SIN((-$B149))-Inputs!$B$70*COS((-$B149)))-Inputs!$B$6)*(L149-Inputs!$B$6))/M149)&gt;M149-Inputs!$B$40),999,(ABS((K149-Inputs!$B$5)*((Inputs!$C$70*SIN((-$B149))-Inputs!$B$70*COS((-$B149)))-Inputs!$B$6)-(L149-Inputs!$B$6)*((Inputs!$C$70*COS((-$B149))+Inputs!$B$70*SIN((-$B149)))-Inputs!$B$5))/M149)-IF(((((Inputs!$C$70*COS((-$B149))+Inputs!$B$70*SIN((-$B149)))-Inputs!$B$5)*(K149-Inputs!$B$5)+((Inputs!$C$70*SIN((-$B149))-Inputs!$B$70*COS((-$B149)))-Inputs!$B$6)*(L149-Inputs!$B$6))/M149)&lt;$B$16,$B$7/2,$B$8/2)-Inputs!$B$39),IF(OR(Inputs!$C$71=0,((((Inputs!$C$71*COS((-$B149))+Inputs!$B$71*SIN((-$B149)))-Inputs!$B$5)*(K149-Inputs!$B$5)+((Inputs!$C$71*SIN((-$B149))-Inputs!$B$71*COS((-$B149)))-Inputs!$B$6)*(L149-Inputs!$B$6))/M149)&lt;0,((((Inputs!$C$71*COS((-$B149))+Inputs!$B$71*SIN((-$B149)))-Inputs!$B$5)*(K149-Inputs!$B$5)+((Inputs!$C$71*SIN((-$B149))-Inputs!$B$71*COS((-$B149)))-Inputs!$B$6)*(L149-Inputs!$B$6))/M149)&gt;M149-Inputs!$B$40),999,(ABS((K149-Inputs!$B$5)*((Inputs!$C$71*SIN((-$B149))-Inputs!$B$71*COS((-$B149)))-Inputs!$B$6)-(L149-Inputs!$B$6)*((Inputs!$C$71*COS((-$B149))+Inputs!$B$71*SIN((-$B149)))-Inputs!$B$5))/M149)-IF(((((Inputs!$C$71*COS((-$B149))+Inputs!$B$71*SIN((-$B149)))-Inputs!$B$5)*(K149-Inputs!$B$5)+((Inputs!$C$71*SIN((-$B149))-Inputs!$B$71*COS((-$B149)))-Inputs!$B$6)*(L149-Inputs!$B$6))/M149)&lt;$B$16,$B$7/2,$B$8/2)-Inputs!$B$39),IF(OR(Inputs!$C$72=0,((((Inputs!$C$72*COS((-$B149))+Inputs!$B$72*SIN((-$B149)))-Inputs!$B$5)*(K149-Inputs!$B$5)+((Inputs!$C$72*SIN((-$B149))-Inputs!$B$72*COS((-$B149)))-Inputs!$B$6)*(L149-Inputs!$B$6))/M149)&lt;0,((((Inputs!$C$72*COS((-$B149))+Inputs!$B$72*SIN((-$B149)))-Inputs!$B$5)*(K149-Inputs!$B$5)+((Inputs!$C$72*SIN((-$B149))-Inputs!$B$72*COS((-$B149)))-Inputs!$B$6)*(L149-Inputs!$B$6))/M149)&gt;M149-Inputs!$B$40),999,(ABS((K149-Inputs!$B$5)*((Inputs!$C$72*SIN((-$B149))-Inputs!$B$72*COS((-$B149)))-Inputs!$B$6)-(L149-Inputs!$B$6)*((Inputs!$C$72*COS((-$B149))+Inputs!$B$72*SIN((-$B149)))-Inputs!$B$5))/M149)-IF(((((Inputs!$C$72*COS((-$B149))+Inputs!$B$72*SIN((-$B149)))-Inputs!$B$5)*(K149-Inputs!$B$5)+((Inputs!$C$72*SIN((-$B149))-Inputs!$B$72*COS((-$B149)))-Inputs!$B$6)*(L149-Inputs!$B$6))/M149)&lt;$B$16,$B$7/2,$B$8/2)-Inputs!$B$39))</f>
        <v>17.20279851</v>
      </c>
      <c r="P149" s="76">
        <f>IF(AND(M149&gt;=$B$14,M149&lt;=$B$15,N149&lt;=Inputs!$B$38,O149&gt;=0,$D149=1),1,0)</f>
        <v>0</v>
      </c>
    </row>
    <row r="150" ht="15.75" customHeight="1">
      <c r="A150" s="23">
        <v>26.75</v>
      </c>
      <c r="B150" s="40">
        <f t="shared" si="4"/>
        <v>0.4668755749</v>
      </c>
      <c r="C150" s="29">
        <f>MAX(Inputs!$C$68*COS($B150)+Inputs!$B$68*ABS(SIN($B150)),Inputs!$C$69*COS($B150)+Inputs!$B$69*ABS(SIN($B150)),Inputs!$C$70*COS($B150)+Inputs!$B$70*ABS(SIN($B150)),Inputs!$C$71*COS($B150)+Inputs!$B$71*ABS(SIN($B150)),Inputs!$C$72*COS($B150)+Inputs!$B$72*ABS(SIN($B150)))</f>
        <v>249.9896828</v>
      </c>
      <c r="D150" s="108">
        <f>IF(C150&lt;=Inputs!$B$38,1,0)</f>
        <v>1</v>
      </c>
      <c r="E150" s="29">
        <f>Inputs!$B$11*COS(($B150))-Inputs!$B$7*SIN(($B150))</f>
        <v>175.6161848</v>
      </c>
      <c r="F150" s="29">
        <f>Inputs!$B$11*SIN(($B150))+Inputs!$B$7*COS(($B150))</f>
        <v>-135.4516026</v>
      </c>
      <c r="G150" s="29">
        <f>SQRT((E150-Inputs!$B$5)^2+(F150-Inputs!$B$6)^2)</f>
        <v>246.9218685</v>
      </c>
      <c r="H150" s="29">
        <f>MAX(MAX(Inputs!$B$5,(Inputs!$B$5+(E150-Inputs!$B$5)*MIN(1,$B$16/G150)))+$B$7/2,MAX((Inputs!$B$5+(E150-Inputs!$B$5)*MIN(1,$B$16/G150)),E150)+Inputs!$B$41)</f>
        <v>291.8</v>
      </c>
      <c r="I150" s="29">
        <f>MIN(IF(OR(Inputs!$C$68=0,((((Inputs!$C$68*COS(($B150))+Inputs!$B$68*SIN(($B150)))-Inputs!$B$5)*(E150-Inputs!$B$5)+((Inputs!$C$68*SIN(($B150))-Inputs!$B$68*COS(($B150)))-Inputs!$B$6)*(F150-Inputs!$B$6))/G150)&lt;0,((((Inputs!$C$68*COS(($B150))+Inputs!$B$68*SIN(($B150)))-Inputs!$B$5)*(E150-Inputs!$B$5)+((Inputs!$C$68*SIN(($B150))-Inputs!$B$68*COS(($B150)))-Inputs!$B$6)*(F150-Inputs!$B$6))/G150)&gt;G150-Inputs!$B$40),999,(ABS((E150-Inputs!$B$5)*((Inputs!$C$68*SIN(($B150))-Inputs!$B$68*COS(($B150)))-Inputs!$B$6)-(F150-Inputs!$B$6)*((Inputs!$C$68*COS(($B150))+Inputs!$B$68*SIN(($B150)))-Inputs!$B$5))/G150)-IF(((((Inputs!$C$68*COS(($B150))+Inputs!$B$68*SIN(($B150)))-Inputs!$B$5)*(E150-Inputs!$B$5)+((Inputs!$C$68*SIN(($B150))-Inputs!$B$68*COS(($B150)))-Inputs!$B$6)*(F150-Inputs!$B$6))/G150)&lt;$B$16,$B$7/2,$B$8/2)-Inputs!$B$39),IF(OR(Inputs!$C$69=0,((((Inputs!$C$69*COS(($B150))+Inputs!$B$69*SIN(($B150)))-Inputs!$B$5)*(E150-Inputs!$B$5)+((Inputs!$C$69*SIN(($B150))-Inputs!$B$69*COS(($B150)))-Inputs!$B$6)*(F150-Inputs!$B$6))/G150)&lt;0,((((Inputs!$C$69*COS(($B150))+Inputs!$B$69*SIN(($B150)))-Inputs!$B$5)*(E150-Inputs!$B$5)+((Inputs!$C$69*SIN(($B150))-Inputs!$B$69*COS(($B150)))-Inputs!$B$6)*(F150-Inputs!$B$6))/G150)&gt;G150-Inputs!$B$40),999,(ABS((E150-Inputs!$B$5)*((Inputs!$C$69*SIN(($B150))-Inputs!$B$69*COS(($B150)))-Inputs!$B$6)-(F150-Inputs!$B$6)*((Inputs!$C$69*COS(($B150))+Inputs!$B$69*SIN(($B150)))-Inputs!$B$5))/G150)-IF(((((Inputs!$C$69*COS(($B150))+Inputs!$B$69*SIN(($B150)))-Inputs!$B$5)*(E150-Inputs!$B$5)+((Inputs!$C$69*SIN(($B150))-Inputs!$B$69*COS(($B150)))-Inputs!$B$6)*(F150-Inputs!$B$6))/G150)&lt;$B$16,$B$7/2,$B$8/2)-Inputs!$B$39),IF(OR(Inputs!$C$70=0,((((Inputs!$C$70*COS(($B150))+Inputs!$B$70*SIN(($B150)))-Inputs!$B$5)*(E150-Inputs!$B$5)+((Inputs!$C$70*SIN(($B150))-Inputs!$B$70*COS(($B150)))-Inputs!$B$6)*(F150-Inputs!$B$6))/G150)&lt;0,((((Inputs!$C$70*COS(($B150))+Inputs!$B$70*SIN(($B150)))-Inputs!$B$5)*(E150-Inputs!$B$5)+((Inputs!$C$70*SIN(($B150))-Inputs!$B$70*COS(($B150)))-Inputs!$B$6)*(F150-Inputs!$B$6))/G150)&gt;G150-Inputs!$B$40),999,(ABS((E150-Inputs!$B$5)*((Inputs!$C$70*SIN(($B150))-Inputs!$B$70*COS(($B150)))-Inputs!$B$6)-(F150-Inputs!$B$6)*((Inputs!$C$70*COS(($B150))+Inputs!$B$70*SIN(($B150)))-Inputs!$B$5))/G150)-IF(((((Inputs!$C$70*COS(($B150))+Inputs!$B$70*SIN(($B150)))-Inputs!$B$5)*(E150-Inputs!$B$5)+((Inputs!$C$70*SIN(($B150))-Inputs!$B$70*COS(($B150)))-Inputs!$B$6)*(F150-Inputs!$B$6))/G150)&lt;$B$16,$B$7/2,$B$8/2)-Inputs!$B$39),IF(OR(Inputs!$C$71=0,((((Inputs!$C$71*COS(($B150))+Inputs!$B$71*SIN(($B150)))-Inputs!$B$5)*(E150-Inputs!$B$5)+((Inputs!$C$71*SIN(($B150))-Inputs!$B$71*COS(($B150)))-Inputs!$B$6)*(F150-Inputs!$B$6))/G150)&lt;0,((((Inputs!$C$71*COS(($B150))+Inputs!$B$71*SIN(($B150)))-Inputs!$B$5)*(E150-Inputs!$B$5)+((Inputs!$C$71*SIN(($B150))-Inputs!$B$71*COS(($B150)))-Inputs!$B$6)*(F150-Inputs!$B$6))/G150)&gt;G150-Inputs!$B$40),999,(ABS((E150-Inputs!$B$5)*((Inputs!$C$71*SIN(($B150))-Inputs!$B$71*COS(($B150)))-Inputs!$B$6)-(F150-Inputs!$B$6)*((Inputs!$C$71*COS(($B150))+Inputs!$B$71*SIN(($B150)))-Inputs!$B$5))/G150)-IF(((((Inputs!$C$71*COS(($B150))+Inputs!$B$71*SIN(($B150)))-Inputs!$B$5)*(E150-Inputs!$B$5)+((Inputs!$C$71*SIN(($B150))-Inputs!$B$71*COS(($B150)))-Inputs!$B$6)*(F150-Inputs!$B$6))/G150)&lt;$B$16,$B$7/2,$B$8/2)-Inputs!$B$39),IF(OR(Inputs!$C$72=0,((((Inputs!$C$72*COS(($B150))+Inputs!$B$72*SIN(($B150)))-Inputs!$B$5)*(E150-Inputs!$B$5)+((Inputs!$C$72*SIN(($B150))-Inputs!$B$72*COS(($B150)))-Inputs!$B$6)*(F150-Inputs!$B$6))/G150)&lt;0,((((Inputs!$C$72*COS(($B150))+Inputs!$B$72*SIN(($B150)))-Inputs!$B$5)*(E150-Inputs!$B$5)+((Inputs!$C$72*SIN(($B150))-Inputs!$B$72*COS(($B150)))-Inputs!$B$6)*(F150-Inputs!$B$6))/G150)&gt;G150-Inputs!$B$40),999,(ABS((E150-Inputs!$B$5)*((Inputs!$C$72*SIN(($B150))-Inputs!$B$72*COS(($B150)))-Inputs!$B$6)-(F150-Inputs!$B$6)*((Inputs!$C$72*COS(($B150))+Inputs!$B$72*SIN(($B150)))-Inputs!$B$5))/G150)-IF(((((Inputs!$C$72*COS(($B150))+Inputs!$B$72*SIN(($B150)))-Inputs!$B$5)*(E150-Inputs!$B$5)+((Inputs!$C$72*SIN(($B150))-Inputs!$B$72*COS(($B150)))-Inputs!$B$6)*(F150-Inputs!$B$6))/G150)&lt;$B$16,$B$7/2,$B$8/2)-Inputs!$B$39))</f>
        <v>50.70360139</v>
      </c>
      <c r="J150" s="76">
        <f>IF(AND(G150&gt;=$B$14,G150&lt;=$B$15,H150&lt;=Inputs!$B$38,I150&gt;=0,$D150=1),1,0)</f>
        <v>0</v>
      </c>
      <c r="K150" s="29">
        <f>Inputs!$B$11*COS((-$B150))-Inputs!$B$7*SIN((-$B150))</f>
        <v>-4.423191587</v>
      </c>
      <c r="L150" s="29">
        <f>Inputs!$B$11*SIN((-$B150))+Inputs!$B$7*COS((-$B150))</f>
        <v>-221.7399747</v>
      </c>
      <c r="M150" s="29">
        <f>SQRT((K150-Inputs!$B$5)^2+(L150-Inputs!$B$6)^2)</f>
        <v>410.1801699</v>
      </c>
      <c r="N150" s="29">
        <f>MAX(MAX(Inputs!$B$5,(Inputs!$B$5+(K150-Inputs!$B$5)*MIN(1,$B$16/M150)))+$B$7/2,MAX((Inputs!$B$5+(K150-Inputs!$B$5)*MIN(1,$B$16/M150)),K150)+Inputs!$B$41)</f>
        <v>291.8</v>
      </c>
      <c r="O150" s="29">
        <f>MIN(IF(OR(Inputs!$C$68=0,((((Inputs!$C$68*COS((-$B150))+Inputs!$B$68*SIN((-$B150)))-Inputs!$B$5)*(K150-Inputs!$B$5)+((Inputs!$C$68*SIN((-$B150))-Inputs!$B$68*COS((-$B150)))-Inputs!$B$6)*(L150-Inputs!$B$6))/M150)&lt;0,((((Inputs!$C$68*COS((-$B150))+Inputs!$B$68*SIN((-$B150)))-Inputs!$B$5)*(K150-Inputs!$B$5)+((Inputs!$C$68*SIN((-$B150))-Inputs!$B$68*COS((-$B150)))-Inputs!$B$6)*(L150-Inputs!$B$6))/M150)&gt;M150-Inputs!$B$40),999,(ABS((K150-Inputs!$B$5)*((Inputs!$C$68*SIN((-$B150))-Inputs!$B$68*COS((-$B150)))-Inputs!$B$6)-(L150-Inputs!$B$6)*((Inputs!$C$68*COS((-$B150))+Inputs!$B$68*SIN((-$B150)))-Inputs!$B$5))/M150)-IF(((((Inputs!$C$68*COS((-$B150))+Inputs!$B$68*SIN((-$B150)))-Inputs!$B$5)*(K150-Inputs!$B$5)+((Inputs!$C$68*SIN((-$B150))-Inputs!$B$68*COS((-$B150)))-Inputs!$B$6)*(L150-Inputs!$B$6))/M150)&lt;$B$16,$B$7/2,$B$8/2)-Inputs!$B$39),IF(OR(Inputs!$C$69=0,((((Inputs!$C$69*COS((-$B150))+Inputs!$B$69*SIN((-$B150)))-Inputs!$B$5)*(K150-Inputs!$B$5)+((Inputs!$C$69*SIN((-$B150))-Inputs!$B$69*COS((-$B150)))-Inputs!$B$6)*(L150-Inputs!$B$6))/M150)&lt;0,((((Inputs!$C$69*COS((-$B150))+Inputs!$B$69*SIN((-$B150)))-Inputs!$B$5)*(K150-Inputs!$B$5)+((Inputs!$C$69*SIN((-$B150))-Inputs!$B$69*COS((-$B150)))-Inputs!$B$6)*(L150-Inputs!$B$6))/M150)&gt;M150-Inputs!$B$40),999,(ABS((K150-Inputs!$B$5)*((Inputs!$C$69*SIN((-$B150))-Inputs!$B$69*COS((-$B150)))-Inputs!$B$6)-(L150-Inputs!$B$6)*((Inputs!$C$69*COS((-$B150))+Inputs!$B$69*SIN((-$B150)))-Inputs!$B$5))/M150)-IF(((((Inputs!$C$69*COS((-$B150))+Inputs!$B$69*SIN((-$B150)))-Inputs!$B$5)*(K150-Inputs!$B$5)+((Inputs!$C$69*SIN((-$B150))-Inputs!$B$69*COS((-$B150)))-Inputs!$B$6)*(L150-Inputs!$B$6))/M150)&lt;$B$16,$B$7/2,$B$8/2)-Inputs!$B$39),IF(OR(Inputs!$C$70=0,((((Inputs!$C$70*COS((-$B150))+Inputs!$B$70*SIN((-$B150)))-Inputs!$B$5)*(K150-Inputs!$B$5)+((Inputs!$C$70*SIN((-$B150))-Inputs!$B$70*COS((-$B150)))-Inputs!$B$6)*(L150-Inputs!$B$6))/M150)&lt;0,((((Inputs!$C$70*COS((-$B150))+Inputs!$B$70*SIN((-$B150)))-Inputs!$B$5)*(K150-Inputs!$B$5)+((Inputs!$C$70*SIN((-$B150))-Inputs!$B$70*COS((-$B150)))-Inputs!$B$6)*(L150-Inputs!$B$6))/M150)&gt;M150-Inputs!$B$40),999,(ABS((K150-Inputs!$B$5)*((Inputs!$C$70*SIN((-$B150))-Inputs!$B$70*COS((-$B150)))-Inputs!$B$6)-(L150-Inputs!$B$6)*((Inputs!$C$70*COS((-$B150))+Inputs!$B$70*SIN((-$B150)))-Inputs!$B$5))/M150)-IF(((((Inputs!$C$70*COS((-$B150))+Inputs!$B$70*SIN((-$B150)))-Inputs!$B$5)*(K150-Inputs!$B$5)+((Inputs!$C$70*SIN((-$B150))-Inputs!$B$70*COS((-$B150)))-Inputs!$B$6)*(L150-Inputs!$B$6))/M150)&lt;$B$16,$B$7/2,$B$8/2)-Inputs!$B$39),IF(OR(Inputs!$C$71=0,((((Inputs!$C$71*COS((-$B150))+Inputs!$B$71*SIN((-$B150)))-Inputs!$B$5)*(K150-Inputs!$B$5)+((Inputs!$C$71*SIN((-$B150))-Inputs!$B$71*COS((-$B150)))-Inputs!$B$6)*(L150-Inputs!$B$6))/M150)&lt;0,((((Inputs!$C$71*COS((-$B150))+Inputs!$B$71*SIN((-$B150)))-Inputs!$B$5)*(K150-Inputs!$B$5)+((Inputs!$C$71*SIN((-$B150))-Inputs!$B$71*COS((-$B150)))-Inputs!$B$6)*(L150-Inputs!$B$6))/M150)&gt;M150-Inputs!$B$40),999,(ABS((K150-Inputs!$B$5)*((Inputs!$C$71*SIN((-$B150))-Inputs!$B$71*COS((-$B150)))-Inputs!$B$6)-(L150-Inputs!$B$6)*((Inputs!$C$71*COS((-$B150))+Inputs!$B$71*SIN((-$B150)))-Inputs!$B$5))/M150)-IF(((((Inputs!$C$71*COS((-$B150))+Inputs!$B$71*SIN((-$B150)))-Inputs!$B$5)*(K150-Inputs!$B$5)+((Inputs!$C$71*SIN((-$B150))-Inputs!$B$71*COS((-$B150)))-Inputs!$B$6)*(L150-Inputs!$B$6))/M150)&lt;$B$16,$B$7/2,$B$8/2)-Inputs!$B$39),IF(OR(Inputs!$C$72=0,((((Inputs!$C$72*COS((-$B150))+Inputs!$B$72*SIN((-$B150)))-Inputs!$B$5)*(K150-Inputs!$B$5)+((Inputs!$C$72*SIN((-$B150))-Inputs!$B$72*COS((-$B150)))-Inputs!$B$6)*(L150-Inputs!$B$6))/M150)&lt;0,((((Inputs!$C$72*COS((-$B150))+Inputs!$B$72*SIN((-$B150)))-Inputs!$B$5)*(K150-Inputs!$B$5)+((Inputs!$C$72*SIN((-$B150))-Inputs!$B$72*COS((-$B150)))-Inputs!$B$6)*(L150-Inputs!$B$6))/M150)&gt;M150-Inputs!$B$40),999,(ABS((K150-Inputs!$B$5)*((Inputs!$C$72*SIN((-$B150))-Inputs!$B$72*COS((-$B150)))-Inputs!$B$6)-(L150-Inputs!$B$6)*((Inputs!$C$72*COS((-$B150))+Inputs!$B$72*SIN((-$B150)))-Inputs!$B$5))/M150)-IF(((((Inputs!$C$72*COS((-$B150))+Inputs!$B$72*SIN((-$B150)))-Inputs!$B$5)*(K150-Inputs!$B$5)+((Inputs!$C$72*SIN((-$B150))-Inputs!$B$72*COS((-$B150)))-Inputs!$B$6)*(L150-Inputs!$B$6))/M150)&lt;$B$16,$B$7/2,$B$8/2)-Inputs!$B$39))</f>
        <v>16.86565101</v>
      </c>
      <c r="P150" s="76">
        <f>IF(AND(M150&gt;=$B$14,M150&lt;=$B$15,N150&lt;=Inputs!$B$38,O150&gt;=0,$D150=1),1,0)</f>
        <v>0</v>
      </c>
    </row>
    <row r="151" ht="15.75" customHeight="1">
      <c r="A151" s="23">
        <v>27.0</v>
      </c>
      <c r="B151" s="40">
        <f t="shared" si="4"/>
        <v>0.471238898</v>
      </c>
      <c r="C151" s="29">
        <f>MAX(Inputs!$C$68*COS($B151)+Inputs!$B$68*ABS(SIN($B151)),Inputs!$C$69*COS($B151)+Inputs!$B$69*ABS(SIN($B151)),Inputs!$C$70*COS($B151)+Inputs!$B$70*ABS(SIN($B151)),Inputs!$C$71*COS($B151)+Inputs!$B$71*ABS(SIN($B151)),Inputs!$C$72*COS($B151)+Inputs!$B$72*ABS(SIN($B151)))</f>
        <v>251.3855399</v>
      </c>
      <c r="D151" s="108">
        <f>IF(C151&lt;=Inputs!$B$38,1,0)</f>
        <v>1</v>
      </c>
      <c r="E151" s="29">
        <f>Inputs!$B$11*COS(($B151))-Inputs!$B$7*SIN(($B151))</f>
        <v>176.2055303</v>
      </c>
      <c r="F151" s="29">
        <f>Inputs!$B$11*SIN(($B151))+Inputs!$B$7*COS(($B151))</f>
        <v>-134.6840455</v>
      </c>
      <c r="G151" s="29">
        <f>SQRT((E151-Inputs!$B$5)^2+(F151-Inputs!$B$6)^2)</f>
        <v>246.012652</v>
      </c>
      <c r="H151" s="29">
        <f>MAX(MAX(Inputs!$B$5,(Inputs!$B$5+(E151-Inputs!$B$5)*MIN(1,$B$16/G151)))+$B$7/2,MAX((Inputs!$B$5+(E151-Inputs!$B$5)*MIN(1,$B$16/G151)),E151)+Inputs!$B$41)</f>
        <v>291.8</v>
      </c>
      <c r="I151" s="29">
        <f>MIN(IF(OR(Inputs!$C$68=0,((((Inputs!$C$68*COS(($B151))+Inputs!$B$68*SIN(($B151)))-Inputs!$B$5)*(E151-Inputs!$B$5)+((Inputs!$C$68*SIN(($B151))-Inputs!$B$68*COS(($B151)))-Inputs!$B$6)*(F151-Inputs!$B$6))/G151)&lt;0,((((Inputs!$C$68*COS(($B151))+Inputs!$B$68*SIN(($B151)))-Inputs!$B$5)*(E151-Inputs!$B$5)+((Inputs!$C$68*SIN(($B151))-Inputs!$B$68*COS(($B151)))-Inputs!$B$6)*(F151-Inputs!$B$6))/G151)&gt;G151-Inputs!$B$40),999,(ABS((E151-Inputs!$B$5)*((Inputs!$C$68*SIN(($B151))-Inputs!$B$68*COS(($B151)))-Inputs!$B$6)-(F151-Inputs!$B$6)*((Inputs!$C$68*COS(($B151))+Inputs!$B$68*SIN(($B151)))-Inputs!$B$5))/G151)-IF(((((Inputs!$C$68*COS(($B151))+Inputs!$B$68*SIN(($B151)))-Inputs!$B$5)*(E151-Inputs!$B$5)+((Inputs!$C$68*SIN(($B151))-Inputs!$B$68*COS(($B151)))-Inputs!$B$6)*(F151-Inputs!$B$6))/G151)&lt;$B$16,$B$7/2,$B$8/2)-Inputs!$B$39),IF(OR(Inputs!$C$69=0,((((Inputs!$C$69*COS(($B151))+Inputs!$B$69*SIN(($B151)))-Inputs!$B$5)*(E151-Inputs!$B$5)+((Inputs!$C$69*SIN(($B151))-Inputs!$B$69*COS(($B151)))-Inputs!$B$6)*(F151-Inputs!$B$6))/G151)&lt;0,((((Inputs!$C$69*COS(($B151))+Inputs!$B$69*SIN(($B151)))-Inputs!$B$5)*(E151-Inputs!$B$5)+((Inputs!$C$69*SIN(($B151))-Inputs!$B$69*COS(($B151)))-Inputs!$B$6)*(F151-Inputs!$B$6))/G151)&gt;G151-Inputs!$B$40),999,(ABS((E151-Inputs!$B$5)*((Inputs!$C$69*SIN(($B151))-Inputs!$B$69*COS(($B151)))-Inputs!$B$6)-(F151-Inputs!$B$6)*((Inputs!$C$69*COS(($B151))+Inputs!$B$69*SIN(($B151)))-Inputs!$B$5))/G151)-IF(((((Inputs!$C$69*COS(($B151))+Inputs!$B$69*SIN(($B151)))-Inputs!$B$5)*(E151-Inputs!$B$5)+((Inputs!$C$69*SIN(($B151))-Inputs!$B$69*COS(($B151)))-Inputs!$B$6)*(F151-Inputs!$B$6))/G151)&lt;$B$16,$B$7/2,$B$8/2)-Inputs!$B$39),IF(OR(Inputs!$C$70=0,((((Inputs!$C$70*COS(($B151))+Inputs!$B$70*SIN(($B151)))-Inputs!$B$5)*(E151-Inputs!$B$5)+((Inputs!$C$70*SIN(($B151))-Inputs!$B$70*COS(($B151)))-Inputs!$B$6)*(F151-Inputs!$B$6))/G151)&lt;0,((((Inputs!$C$70*COS(($B151))+Inputs!$B$70*SIN(($B151)))-Inputs!$B$5)*(E151-Inputs!$B$5)+((Inputs!$C$70*SIN(($B151))-Inputs!$B$70*COS(($B151)))-Inputs!$B$6)*(F151-Inputs!$B$6))/G151)&gt;G151-Inputs!$B$40),999,(ABS((E151-Inputs!$B$5)*((Inputs!$C$70*SIN(($B151))-Inputs!$B$70*COS(($B151)))-Inputs!$B$6)-(F151-Inputs!$B$6)*((Inputs!$C$70*COS(($B151))+Inputs!$B$70*SIN(($B151)))-Inputs!$B$5))/G151)-IF(((((Inputs!$C$70*COS(($B151))+Inputs!$B$70*SIN(($B151)))-Inputs!$B$5)*(E151-Inputs!$B$5)+((Inputs!$C$70*SIN(($B151))-Inputs!$B$70*COS(($B151)))-Inputs!$B$6)*(F151-Inputs!$B$6))/G151)&lt;$B$16,$B$7/2,$B$8/2)-Inputs!$B$39),IF(OR(Inputs!$C$71=0,((((Inputs!$C$71*COS(($B151))+Inputs!$B$71*SIN(($B151)))-Inputs!$B$5)*(E151-Inputs!$B$5)+((Inputs!$C$71*SIN(($B151))-Inputs!$B$71*COS(($B151)))-Inputs!$B$6)*(F151-Inputs!$B$6))/G151)&lt;0,((((Inputs!$C$71*COS(($B151))+Inputs!$B$71*SIN(($B151)))-Inputs!$B$5)*(E151-Inputs!$B$5)+((Inputs!$C$71*SIN(($B151))-Inputs!$B$71*COS(($B151)))-Inputs!$B$6)*(F151-Inputs!$B$6))/G151)&gt;G151-Inputs!$B$40),999,(ABS((E151-Inputs!$B$5)*((Inputs!$C$71*SIN(($B151))-Inputs!$B$71*COS(($B151)))-Inputs!$B$6)-(F151-Inputs!$B$6)*((Inputs!$C$71*COS(($B151))+Inputs!$B$71*SIN(($B151)))-Inputs!$B$5))/G151)-IF(((((Inputs!$C$71*COS(($B151))+Inputs!$B$71*SIN(($B151)))-Inputs!$B$5)*(E151-Inputs!$B$5)+((Inputs!$C$71*SIN(($B151))-Inputs!$B$71*COS(($B151)))-Inputs!$B$6)*(F151-Inputs!$B$6))/G151)&lt;$B$16,$B$7/2,$B$8/2)-Inputs!$B$39),IF(OR(Inputs!$C$72=0,((((Inputs!$C$72*COS(($B151))+Inputs!$B$72*SIN(($B151)))-Inputs!$B$5)*(E151-Inputs!$B$5)+((Inputs!$C$72*SIN(($B151))-Inputs!$B$72*COS(($B151)))-Inputs!$B$6)*(F151-Inputs!$B$6))/G151)&lt;0,((((Inputs!$C$72*COS(($B151))+Inputs!$B$72*SIN(($B151)))-Inputs!$B$5)*(E151-Inputs!$B$5)+((Inputs!$C$72*SIN(($B151))-Inputs!$B$72*COS(($B151)))-Inputs!$B$6)*(F151-Inputs!$B$6))/G151)&gt;G151-Inputs!$B$40),999,(ABS((E151-Inputs!$B$5)*((Inputs!$C$72*SIN(($B151))-Inputs!$B$72*COS(($B151)))-Inputs!$B$6)-(F151-Inputs!$B$6)*((Inputs!$C$72*COS(($B151))+Inputs!$B$72*SIN(($B151)))-Inputs!$B$5))/G151)-IF(((((Inputs!$C$72*COS(($B151))+Inputs!$B$72*SIN(($B151)))-Inputs!$B$5)*(E151-Inputs!$B$5)+((Inputs!$C$72*SIN(($B151))-Inputs!$B$72*COS(($B151)))-Inputs!$B$6)*(F151-Inputs!$B$6))/G151)&lt;$B$16,$B$7/2,$B$8/2)-Inputs!$B$39))</f>
        <v>50.86475612</v>
      </c>
      <c r="J151" s="76">
        <f>IF(AND(G151&gt;=$B$14,G151&lt;=$B$15,H151&lt;=Inputs!$B$38,I151&gt;=0,$D151=1),1,0)</f>
        <v>0</v>
      </c>
      <c r="K151" s="29">
        <f>Inputs!$B$11*COS((-$B151))-Inputs!$B$7*SIN((-$B151))</f>
        <v>-5.390669572</v>
      </c>
      <c r="L151" s="29">
        <f>Inputs!$B$11*SIN((-$B151))+Inputs!$B$7*COS((-$B151))</f>
        <v>-221.7185642</v>
      </c>
      <c r="M151" s="29">
        <f>SQRT((K151-Inputs!$B$5)^2+(L151-Inputs!$B$6)^2)</f>
        <v>410.7642008</v>
      </c>
      <c r="N151" s="29">
        <f>MAX(MAX(Inputs!$B$5,(Inputs!$B$5+(K151-Inputs!$B$5)*MIN(1,$B$16/M151)))+$B$7/2,MAX((Inputs!$B$5+(K151-Inputs!$B$5)*MIN(1,$B$16/M151)),K151)+Inputs!$B$41)</f>
        <v>291.8</v>
      </c>
      <c r="O151" s="29">
        <f>MIN(IF(OR(Inputs!$C$68=0,((((Inputs!$C$68*COS((-$B151))+Inputs!$B$68*SIN((-$B151)))-Inputs!$B$5)*(K151-Inputs!$B$5)+((Inputs!$C$68*SIN((-$B151))-Inputs!$B$68*COS((-$B151)))-Inputs!$B$6)*(L151-Inputs!$B$6))/M151)&lt;0,((((Inputs!$C$68*COS((-$B151))+Inputs!$B$68*SIN((-$B151)))-Inputs!$B$5)*(K151-Inputs!$B$5)+((Inputs!$C$68*SIN((-$B151))-Inputs!$B$68*COS((-$B151)))-Inputs!$B$6)*(L151-Inputs!$B$6))/M151)&gt;M151-Inputs!$B$40),999,(ABS((K151-Inputs!$B$5)*((Inputs!$C$68*SIN((-$B151))-Inputs!$B$68*COS((-$B151)))-Inputs!$B$6)-(L151-Inputs!$B$6)*((Inputs!$C$68*COS((-$B151))+Inputs!$B$68*SIN((-$B151)))-Inputs!$B$5))/M151)-IF(((((Inputs!$C$68*COS((-$B151))+Inputs!$B$68*SIN((-$B151)))-Inputs!$B$5)*(K151-Inputs!$B$5)+((Inputs!$C$68*SIN((-$B151))-Inputs!$B$68*COS((-$B151)))-Inputs!$B$6)*(L151-Inputs!$B$6))/M151)&lt;$B$16,$B$7/2,$B$8/2)-Inputs!$B$39),IF(OR(Inputs!$C$69=0,((((Inputs!$C$69*COS((-$B151))+Inputs!$B$69*SIN((-$B151)))-Inputs!$B$5)*(K151-Inputs!$B$5)+((Inputs!$C$69*SIN((-$B151))-Inputs!$B$69*COS((-$B151)))-Inputs!$B$6)*(L151-Inputs!$B$6))/M151)&lt;0,((((Inputs!$C$69*COS((-$B151))+Inputs!$B$69*SIN((-$B151)))-Inputs!$B$5)*(K151-Inputs!$B$5)+((Inputs!$C$69*SIN((-$B151))-Inputs!$B$69*COS((-$B151)))-Inputs!$B$6)*(L151-Inputs!$B$6))/M151)&gt;M151-Inputs!$B$40),999,(ABS((K151-Inputs!$B$5)*((Inputs!$C$69*SIN((-$B151))-Inputs!$B$69*COS((-$B151)))-Inputs!$B$6)-(L151-Inputs!$B$6)*((Inputs!$C$69*COS((-$B151))+Inputs!$B$69*SIN((-$B151)))-Inputs!$B$5))/M151)-IF(((((Inputs!$C$69*COS((-$B151))+Inputs!$B$69*SIN((-$B151)))-Inputs!$B$5)*(K151-Inputs!$B$5)+((Inputs!$C$69*SIN((-$B151))-Inputs!$B$69*COS((-$B151)))-Inputs!$B$6)*(L151-Inputs!$B$6))/M151)&lt;$B$16,$B$7/2,$B$8/2)-Inputs!$B$39),IF(OR(Inputs!$C$70=0,((((Inputs!$C$70*COS((-$B151))+Inputs!$B$70*SIN((-$B151)))-Inputs!$B$5)*(K151-Inputs!$B$5)+((Inputs!$C$70*SIN((-$B151))-Inputs!$B$70*COS((-$B151)))-Inputs!$B$6)*(L151-Inputs!$B$6))/M151)&lt;0,((((Inputs!$C$70*COS((-$B151))+Inputs!$B$70*SIN((-$B151)))-Inputs!$B$5)*(K151-Inputs!$B$5)+((Inputs!$C$70*SIN((-$B151))-Inputs!$B$70*COS((-$B151)))-Inputs!$B$6)*(L151-Inputs!$B$6))/M151)&gt;M151-Inputs!$B$40),999,(ABS((K151-Inputs!$B$5)*((Inputs!$C$70*SIN((-$B151))-Inputs!$B$70*COS((-$B151)))-Inputs!$B$6)-(L151-Inputs!$B$6)*((Inputs!$C$70*COS((-$B151))+Inputs!$B$70*SIN((-$B151)))-Inputs!$B$5))/M151)-IF(((((Inputs!$C$70*COS((-$B151))+Inputs!$B$70*SIN((-$B151)))-Inputs!$B$5)*(K151-Inputs!$B$5)+((Inputs!$C$70*SIN((-$B151))-Inputs!$B$70*COS((-$B151)))-Inputs!$B$6)*(L151-Inputs!$B$6))/M151)&lt;$B$16,$B$7/2,$B$8/2)-Inputs!$B$39),IF(OR(Inputs!$C$71=0,((((Inputs!$C$71*COS((-$B151))+Inputs!$B$71*SIN((-$B151)))-Inputs!$B$5)*(K151-Inputs!$B$5)+((Inputs!$C$71*SIN((-$B151))-Inputs!$B$71*COS((-$B151)))-Inputs!$B$6)*(L151-Inputs!$B$6))/M151)&lt;0,((((Inputs!$C$71*COS((-$B151))+Inputs!$B$71*SIN((-$B151)))-Inputs!$B$5)*(K151-Inputs!$B$5)+((Inputs!$C$71*SIN((-$B151))-Inputs!$B$71*COS((-$B151)))-Inputs!$B$6)*(L151-Inputs!$B$6))/M151)&gt;M151-Inputs!$B$40),999,(ABS((K151-Inputs!$B$5)*((Inputs!$C$71*SIN((-$B151))-Inputs!$B$71*COS((-$B151)))-Inputs!$B$6)-(L151-Inputs!$B$6)*((Inputs!$C$71*COS((-$B151))+Inputs!$B$71*SIN((-$B151)))-Inputs!$B$5))/M151)-IF(((((Inputs!$C$71*COS((-$B151))+Inputs!$B$71*SIN((-$B151)))-Inputs!$B$5)*(K151-Inputs!$B$5)+((Inputs!$C$71*SIN((-$B151))-Inputs!$B$71*COS((-$B151)))-Inputs!$B$6)*(L151-Inputs!$B$6))/M151)&lt;$B$16,$B$7/2,$B$8/2)-Inputs!$B$39),IF(OR(Inputs!$C$72=0,((((Inputs!$C$72*COS((-$B151))+Inputs!$B$72*SIN((-$B151)))-Inputs!$B$5)*(K151-Inputs!$B$5)+((Inputs!$C$72*SIN((-$B151))-Inputs!$B$72*COS((-$B151)))-Inputs!$B$6)*(L151-Inputs!$B$6))/M151)&lt;0,((((Inputs!$C$72*COS((-$B151))+Inputs!$B$72*SIN((-$B151)))-Inputs!$B$5)*(K151-Inputs!$B$5)+((Inputs!$C$72*SIN((-$B151))-Inputs!$B$72*COS((-$B151)))-Inputs!$B$6)*(L151-Inputs!$B$6))/M151)&gt;M151-Inputs!$B$40),999,(ABS((K151-Inputs!$B$5)*((Inputs!$C$72*SIN((-$B151))-Inputs!$B$72*COS((-$B151)))-Inputs!$B$6)-(L151-Inputs!$B$6)*((Inputs!$C$72*COS((-$B151))+Inputs!$B$72*SIN((-$B151)))-Inputs!$B$5))/M151)-IF(((((Inputs!$C$72*COS((-$B151))+Inputs!$B$72*SIN((-$B151)))-Inputs!$B$5)*(K151-Inputs!$B$5)+((Inputs!$C$72*SIN((-$B151))-Inputs!$B$72*COS((-$B151)))-Inputs!$B$6)*(L151-Inputs!$B$6))/M151)&lt;$B$16,$B$7/2,$B$8/2)-Inputs!$B$39))</f>
        <v>16.52840503</v>
      </c>
      <c r="P151" s="76">
        <f>IF(AND(M151&gt;=$B$14,M151&lt;=$B$15,N151&lt;=Inputs!$B$38,O151&gt;=0,$D151=1),1,0)</f>
        <v>0</v>
      </c>
    </row>
    <row r="152" ht="15.75" customHeight="1">
      <c r="A152" s="23">
        <v>27.25</v>
      </c>
      <c r="B152" s="40">
        <f t="shared" si="4"/>
        <v>0.4756022212</v>
      </c>
      <c r="C152" s="29">
        <f>MAX(Inputs!$C$68*COS($B152)+Inputs!$B$68*ABS(SIN($B152)),Inputs!$C$69*COS($B152)+Inputs!$B$69*ABS(SIN($B152)),Inputs!$C$70*COS($B152)+Inputs!$B$70*ABS(SIN($B152)),Inputs!$C$71*COS($B152)+Inputs!$B$71*ABS(SIN($B152)),Inputs!$C$72*COS($B152)+Inputs!$B$72*ABS(SIN($B152)))</f>
        <v>252.7766109</v>
      </c>
      <c r="D152" s="108">
        <f>IF(C152&lt;=Inputs!$B$38,1,0)</f>
        <v>1</v>
      </c>
      <c r="E152" s="29">
        <f>Inputs!$B$11*COS(($B152))-Inputs!$B$7*SIN(($B152))</f>
        <v>176.7915211</v>
      </c>
      <c r="F152" s="29">
        <f>Inputs!$B$11*SIN(($B152))+Inputs!$B$7*COS(($B152))</f>
        <v>-133.9139242</v>
      </c>
      <c r="G152" s="29">
        <f>SQRT((E152-Inputs!$B$5)^2+(F152-Inputs!$B$6)^2)</f>
        <v>245.1024384</v>
      </c>
      <c r="H152" s="29">
        <f>MAX(MAX(Inputs!$B$5,(Inputs!$B$5+(E152-Inputs!$B$5)*MIN(1,$B$16/G152)))+$B$7/2,MAX((Inputs!$B$5+(E152-Inputs!$B$5)*MIN(1,$B$16/G152)),E152)+Inputs!$B$41)</f>
        <v>291.8</v>
      </c>
      <c r="I152" s="29">
        <f>MIN(IF(OR(Inputs!$C$68=0,((((Inputs!$C$68*COS(($B152))+Inputs!$B$68*SIN(($B152)))-Inputs!$B$5)*(E152-Inputs!$B$5)+((Inputs!$C$68*SIN(($B152))-Inputs!$B$68*COS(($B152)))-Inputs!$B$6)*(F152-Inputs!$B$6))/G152)&lt;0,((((Inputs!$C$68*COS(($B152))+Inputs!$B$68*SIN(($B152)))-Inputs!$B$5)*(E152-Inputs!$B$5)+((Inputs!$C$68*SIN(($B152))-Inputs!$B$68*COS(($B152)))-Inputs!$B$6)*(F152-Inputs!$B$6))/G152)&gt;G152-Inputs!$B$40),999,(ABS((E152-Inputs!$B$5)*((Inputs!$C$68*SIN(($B152))-Inputs!$B$68*COS(($B152)))-Inputs!$B$6)-(F152-Inputs!$B$6)*((Inputs!$C$68*COS(($B152))+Inputs!$B$68*SIN(($B152)))-Inputs!$B$5))/G152)-IF(((((Inputs!$C$68*COS(($B152))+Inputs!$B$68*SIN(($B152)))-Inputs!$B$5)*(E152-Inputs!$B$5)+((Inputs!$C$68*SIN(($B152))-Inputs!$B$68*COS(($B152)))-Inputs!$B$6)*(F152-Inputs!$B$6))/G152)&lt;$B$16,$B$7/2,$B$8/2)-Inputs!$B$39),IF(OR(Inputs!$C$69=0,((((Inputs!$C$69*COS(($B152))+Inputs!$B$69*SIN(($B152)))-Inputs!$B$5)*(E152-Inputs!$B$5)+((Inputs!$C$69*SIN(($B152))-Inputs!$B$69*COS(($B152)))-Inputs!$B$6)*(F152-Inputs!$B$6))/G152)&lt;0,((((Inputs!$C$69*COS(($B152))+Inputs!$B$69*SIN(($B152)))-Inputs!$B$5)*(E152-Inputs!$B$5)+((Inputs!$C$69*SIN(($B152))-Inputs!$B$69*COS(($B152)))-Inputs!$B$6)*(F152-Inputs!$B$6))/G152)&gt;G152-Inputs!$B$40),999,(ABS((E152-Inputs!$B$5)*((Inputs!$C$69*SIN(($B152))-Inputs!$B$69*COS(($B152)))-Inputs!$B$6)-(F152-Inputs!$B$6)*((Inputs!$C$69*COS(($B152))+Inputs!$B$69*SIN(($B152)))-Inputs!$B$5))/G152)-IF(((((Inputs!$C$69*COS(($B152))+Inputs!$B$69*SIN(($B152)))-Inputs!$B$5)*(E152-Inputs!$B$5)+((Inputs!$C$69*SIN(($B152))-Inputs!$B$69*COS(($B152)))-Inputs!$B$6)*(F152-Inputs!$B$6))/G152)&lt;$B$16,$B$7/2,$B$8/2)-Inputs!$B$39),IF(OR(Inputs!$C$70=0,((((Inputs!$C$70*COS(($B152))+Inputs!$B$70*SIN(($B152)))-Inputs!$B$5)*(E152-Inputs!$B$5)+((Inputs!$C$70*SIN(($B152))-Inputs!$B$70*COS(($B152)))-Inputs!$B$6)*(F152-Inputs!$B$6))/G152)&lt;0,((((Inputs!$C$70*COS(($B152))+Inputs!$B$70*SIN(($B152)))-Inputs!$B$5)*(E152-Inputs!$B$5)+((Inputs!$C$70*SIN(($B152))-Inputs!$B$70*COS(($B152)))-Inputs!$B$6)*(F152-Inputs!$B$6))/G152)&gt;G152-Inputs!$B$40),999,(ABS((E152-Inputs!$B$5)*((Inputs!$C$70*SIN(($B152))-Inputs!$B$70*COS(($B152)))-Inputs!$B$6)-(F152-Inputs!$B$6)*((Inputs!$C$70*COS(($B152))+Inputs!$B$70*SIN(($B152)))-Inputs!$B$5))/G152)-IF(((((Inputs!$C$70*COS(($B152))+Inputs!$B$70*SIN(($B152)))-Inputs!$B$5)*(E152-Inputs!$B$5)+((Inputs!$C$70*SIN(($B152))-Inputs!$B$70*COS(($B152)))-Inputs!$B$6)*(F152-Inputs!$B$6))/G152)&lt;$B$16,$B$7/2,$B$8/2)-Inputs!$B$39),IF(OR(Inputs!$C$71=0,((((Inputs!$C$71*COS(($B152))+Inputs!$B$71*SIN(($B152)))-Inputs!$B$5)*(E152-Inputs!$B$5)+((Inputs!$C$71*SIN(($B152))-Inputs!$B$71*COS(($B152)))-Inputs!$B$6)*(F152-Inputs!$B$6))/G152)&lt;0,((((Inputs!$C$71*COS(($B152))+Inputs!$B$71*SIN(($B152)))-Inputs!$B$5)*(E152-Inputs!$B$5)+((Inputs!$C$71*SIN(($B152))-Inputs!$B$71*COS(($B152)))-Inputs!$B$6)*(F152-Inputs!$B$6))/G152)&gt;G152-Inputs!$B$40),999,(ABS((E152-Inputs!$B$5)*((Inputs!$C$71*SIN(($B152))-Inputs!$B$71*COS(($B152)))-Inputs!$B$6)-(F152-Inputs!$B$6)*((Inputs!$C$71*COS(($B152))+Inputs!$B$71*SIN(($B152)))-Inputs!$B$5))/G152)-IF(((((Inputs!$C$71*COS(($B152))+Inputs!$B$71*SIN(($B152)))-Inputs!$B$5)*(E152-Inputs!$B$5)+((Inputs!$C$71*SIN(($B152))-Inputs!$B$71*COS(($B152)))-Inputs!$B$6)*(F152-Inputs!$B$6))/G152)&lt;$B$16,$B$7/2,$B$8/2)-Inputs!$B$39),IF(OR(Inputs!$C$72=0,((((Inputs!$C$72*COS(($B152))+Inputs!$B$72*SIN(($B152)))-Inputs!$B$5)*(E152-Inputs!$B$5)+((Inputs!$C$72*SIN(($B152))-Inputs!$B$72*COS(($B152)))-Inputs!$B$6)*(F152-Inputs!$B$6))/G152)&lt;0,((((Inputs!$C$72*COS(($B152))+Inputs!$B$72*SIN(($B152)))-Inputs!$B$5)*(E152-Inputs!$B$5)+((Inputs!$C$72*SIN(($B152))-Inputs!$B$72*COS(($B152)))-Inputs!$B$6)*(F152-Inputs!$B$6))/G152)&gt;G152-Inputs!$B$40),999,(ABS((E152-Inputs!$B$5)*((Inputs!$C$72*SIN(($B152))-Inputs!$B$72*COS(($B152)))-Inputs!$B$6)-(F152-Inputs!$B$6)*((Inputs!$C$72*COS(($B152))+Inputs!$B$72*SIN(($B152)))-Inputs!$B$5))/G152)-IF(((((Inputs!$C$72*COS(($B152))+Inputs!$B$72*SIN(($B152)))-Inputs!$B$5)*(E152-Inputs!$B$5)+((Inputs!$C$72*SIN(($B152))-Inputs!$B$72*COS(($B152)))-Inputs!$B$6)*(F152-Inputs!$B$6))/G152)&lt;$B$16,$B$7/2,$B$8/2)-Inputs!$B$39))</f>
        <v>51.02536806</v>
      </c>
      <c r="J152" s="76">
        <f>IF(AND(G152&gt;=$B$14,G152&lt;=$B$15,H152&lt;=Inputs!$B$38,I152&gt;=0,$D152=1),1,0)</f>
        <v>0</v>
      </c>
      <c r="K152" s="29">
        <f>Inputs!$B$11*COS((-$B152))-Inputs!$B$7*SIN((-$B152))</f>
        <v>-6.358044926</v>
      </c>
      <c r="L152" s="29">
        <f>Inputs!$B$11*SIN((-$B152))+Inputs!$B$7*COS((-$B152))</f>
        <v>-221.6929324</v>
      </c>
      <c r="M152" s="29">
        <f>SQRT((K152-Inputs!$B$5)^2+(L152-Inputs!$B$6)^2)</f>
        <v>411.3463139</v>
      </c>
      <c r="N152" s="29">
        <f>MAX(MAX(Inputs!$B$5,(Inputs!$B$5+(K152-Inputs!$B$5)*MIN(1,$B$16/M152)))+$B$7/2,MAX((Inputs!$B$5+(K152-Inputs!$B$5)*MIN(1,$B$16/M152)),K152)+Inputs!$B$41)</f>
        <v>291.8</v>
      </c>
      <c r="O152" s="29">
        <f>MIN(IF(OR(Inputs!$C$68=0,((((Inputs!$C$68*COS((-$B152))+Inputs!$B$68*SIN((-$B152)))-Inputs!$B$5)*(K152-Inputs!$B$5)+((Inputs!$C$68*SIN((-$B152))-Inputs!$B$68*COS((-$B152)))-Inputs!$B$6)*(L152-Inputs!$B$6))/M152)&lt;0,((((Inputs!$C$68*COS((-$B152))+Inputs!$B$68*SIN((-$B152)))-Inputs!$B$5)*(K152-Inputs!$B$5)+((Inputs!$C$68*SIN((-$B152))-Inputs!$B$68*COS((-$B152)))-Inputs!$B$6)*(L152-Inputs!$B$6))/M152)&gt;M152-Inputs!$B$40),999,(ABS((K152-Inputs!$B$5)*((Inputs!$C$68*SIN((-$B152))-Inputs!$B$68*COS((-$B152)))-Inputs!$B$6)-(L152-Inputs!$B$6)*((Inputs!$C$68*COS((-$B152))+Inputs!$B$68*SIN((-$B152)))-Inputs!$B$5))/M152)-IF(((((Inputs!$C$68*COS((-$B152))+Inputs!$B$68*SIN((-$B152)))-Inputs!$B$5)*(K152-Inputs!$B$5)+((Inputs!$C$68*SIN((-$B152))-Inputs!$B$68*COS((-$B152)))-Inputs!$B$6)*(L152-Inputs!$B$6))/M152)&lt;$B$16,$B$7/2,$B$8/2)-Inputs!$B$39),IF(OR(Inputs!$C$69=0,((((Inputs!$C$69*COS((-$B152))+Inputs!$B$69*SIN((-$B152)))-Inputs!$B$5)*(K152-Inputs!$B$5)+((Inputs!$C$69*SIN((-$B152))-Inputs!$B$69*COS((-$B152)))-Inputs!$B$6)*(L152-Inputs!$B$6))/M152)&lt;0,((((Inputs!$C$69*COS((-$B152))+Inputs!$B$69*SIN((-$B152)))-Inputs!$B$5)*(K152-Inputs!$B$5)+((Inputs!$C$69*SIN((-$B152))-Inputs!$B$69*COS((-$B152)))-Inputs!$B$6)*(L152-Inputs!$B$6))/M152)&gt;M152-Inputs!$B$40),999,(ABS((K152-Inputs!$B$5)*((Inputs!$C$69*SIN((-$B152))-Inputs!$B$69*COS((-$B152)))-Inputs!$B$6)-(L152-Inputs!$B$6)*((Inputs!$C$69*COS((-$B152))+Inputs!$B$69*SIN((-$B152)))-Inputs!$B$5))/M152)-IF(((((Inputs!$C$69*COS((-$B152))+Inputs!$B$69*SIN((-$B152)))-Inputs!$B$5)*(K152-Inputs!$B$5)+((Inputs!$C$69*SIN((-$B152))-Inputs!$B$69*COS((-$B152)))-Inputs!$B$6)*(L152-Inputs!$B$6))/M152)&lt;$B$16,$B$7/2,$B$8/2)-Inputs!$B$39),IF(OR(Inputs!$C$70=0,((((Inputs!$C$70*COS((-$B152))+Inputs!$B$70*SIN((-$B152)))-Inputs!$B$5)*(K152-Inputs!$B$5)+((Inputs!$C$70*SIN((-$B152))-Inputs!$B$70*COS((-$B152)))-Inputs!$B$6)*(L152-Inputs!$B$6))/M152)&lt;0,((((Inputs!$C$70*COS((-$B152))+Inputs!$B$70*SIN((-$B152)))-Inputs!$B$5)*(K152-Inputs!$B$5)+((Inputs!$C$70*SIN((-$B152))-Inputs!$B$70*COS((-$B152)))-Inputs!$B$6)*(L152-Inputs!$B$6))/M152)&gt;M152-Inputs!$B$40),999,(ABS((K152-Inputs!$B$5)*((Inputs!$C$70*SIN((-$B152))-Inputs!$B$70*COS((-$B152)))-Inputs!$B$6)-(L152-Inputs!$B$6)*((Inputs!$C$70*COS((-$B152))+Inputs!$B$70*SIN((-$B152)))-Inputs!$B$5))/M152)-IF(((((Inputs!$C$70*COS((-$B152))+Inputs!$B$70*SIN((-$B152)))-Inputs!$B$5)*(K152-Inputs!$B$5)+((Inputs!$C$70*SIN((-$B152))-Inputs!$B$70*COS((-$B152)))-Inputs!$B$6)*(L152-Inputs!$B$6))/M152)&lt;$B$16,$B$7/2,$B$8/2)-Inputs!$B$39),IF(OR(Inputs!$C$71=0,((((Inputs!$C$71*COS((-$B152))+Inputs!$B$71*SIN((-$B152)))-Inputs!$B$5)*(K152-Inputs!$B$5)+((Inputs!$C$71*SIN((-$B152))-Inputs!$B$71*COS((-$B152)))-Inputs!$B$6)*(L152-Inputs!$B$6))/M152)&lt;0,((((Inputs!$C$71*COS((-$B152))+Inputs!$B$71*SIN((-$B152)))-Inputs!$B$5)*(K152-Inputs!$B$5)+((Inputs!$C$71*SIN((-$B152))-Inputs!$B$71*COS((-$B152)))-Inputs!$B$6)*(L152-Inputs!$B$6))/M152)&gt;M152-Inputs!$B$40),999,(ABS((K152-Inputs!$B$5)*((Inputs!$C$71*SIN((-$B152))-Inputs!$B$71*COS((-$B152)))-Inputs!$B$6)-(L152-Inputs!$B$6)*((Inputs!$C$71*COS((-$B152))+Inputs!$B$71*SIN((-$B152)))-Inputs!$B$5))/M152)-IF(((((Inputs!$C$71*COS((-$B152))+Inputs!$B$71*SIN((-$B152)))-Inputs!$B$5)*(K152-Inputs!$B$5)+((Inputs!$C$71*SIN((-$B152))-Inputs!$B$71*COS((-$B152)))-Inputs!$B$6)*(L152-Inputs!$B$6))/M152)&lt;$B$16,$B$7/2,$B$8/2)-Inputs!$B$39),IF(OR(Inputs!$C$72=0,((((Inputs!$C$72*COS((-$B152))+Inputs!$B$72*SIN((-$B152)))-Inputs!$B$5)*(K152-Inputs!$B$5)+((Inputs!$C$72*SIN((-$B152))-Inputs!$B$72*COS((-$B152)))-Inputs!$B$6)*(L152-Inputs!$B$6))/M152)&lt;0,((((Inputs!$C$72*COS((-$B152))+Inputs!$B$72*SIN((-$B152)))-Inputs!$B$5)*(K152-Inputs!$B$5)+((Inputs!$C$72*SIN((-$B152))-Inputs!$B$72*COS((-$B152)))-Inputs!$B$6)*(L152-Inputs!$B$6))/M152)&gt;M152-Inputs!$B$40),999,(ABS((K152-Inputs!$B$5)*((Inputs!$C$72*SIN((-$B152))-Inputs!$B$72*COS((-$B152)))-Inputs!$B$6)-(L152-Inputs!$B$6)*((Inputs!$C$72*COS((-$B152))+Inputs!$B$72*SIN((-$B152)))-Inputs!$B$5))/M152)-IF(((((Inputs!$C$72*COS((-$B152))+Inputs!$B$72*SIN((-$B152)))-Inputs!$B$5)*(K152-Inputs!$B$5)+((Inputs!$C$72*SIN((-$B152))-Inputs!$B$72*COS((-$B152)))-Inputs!$B$6)*(L152-Inputs!$B$6))/M152)&lt;$B$16,$B$7/2,$B$8/2)-Inputs!$B$39))</f>
        <v>16.191062</v>
      </c>
      <c r="P152" s="76">
        <f>IF(AND(M152&gt;=$B$14,M152&lt;=$B$15,N152&lt;=Inputs!$B$38,O152&gt;=0,$D152=1),1,0)</f>
        <v>0</v>
      </c>
    </row>
    <row r="153" ht="15.75" customHeight="1">
      <c r="A153" s="23">
        <v>27.5</v>
      </c>
      <c r="B153" s="40">
        <f t="shared" si="4"/>
        <v>0.4799655443</v>
      </c>
      <c r="C153" s="29">
        <f>MAX(Inputs!$C$68*COS($B153)+Inputs!$B$68*ABS(SIN($B153)),Inputs!$C$69*COS($B153)+Inputs!$B$69*ABS(SIN($B153)),Inputs!$C$70*COS($B153)+Inputs!$B$70*ABS(SIN($B153)),Inputs!$C$71*COS($B153)+Inputs!$B$71*ABS(SIN($B153)),Inputs!$C$72*COS($B153)+Inputs!$B$72*ABS(SIN($B153)))</f>
        <v>254.1628694</v>
      </c>
      <c r="D153" s="108">
        <f>IF(C153&lt;=Inputs!$B$38,1,0)</f>
        <v>1</v>
      </c>
      <c r="E153" s="29">
        <f>Inputs!$B$11*COS(($B153))-Inputs!$B$7*SIN(($B153))</f>
        <v>177.3741461</v>
      </c>
      <c r="F153" s="29">
        <f>Inputs!$B$11*SIN(($B153))+Inputs!$B$7*COS(($B153))</f>
        <v>-133.1412533</v>
      </c>
      <c r="G153" s="29">
        <f>SQRT((E153-Inputs!$B$5)^2+(F153-Inputs!$B$6)^2)</f>
        <v>244.1912338</v>
      </c>
      <c r="H153" s="29">
        <f>MAX(MAX(Inputs!$B$5,(Inputs!$B$5+(E153-Inputs!$B$5)*MIN(1,$B$16/G153)))+$B$7/2,MAX((Inputs!$B$5+(E153-Inputs!$B$5)*MIN(1,$B$16/G153)),E153)+Inputs!$B$41)</f>
        <v>291.8</v>
      </c>
      <c r="I153" s="29">
        <f>MIN(IF(OR(Inputs!$C$68=0,((((Inputs!$C$68*COS(($B153))+Inputs!$B$68*SIN(($B153)))-Inputs!$B$5)*(E153-Inputs!$B$5)+((Inputs!$C$68*SIN(($B153))-Inputs!$B$68*COS(($B153)))-Inputs!$B$6)*(F153-Inputs!$B$6))/G153)&lt;0,((((Inputs!$C$68*COS(($B153))+Inputs!$B$68*SIN(($B153)))-Inputs!$B$5)*(E153-Inputs!$B$5)+((Inputs!$C$68*SIN(($B153))-Inputs!$B$68*COS(($B153)))-Inputs!$B$6)*(F153-Inputs!$B$6))/G153)&gt;G153-Inputs!$B$40),999,(ABS((E153-Inputs!$B$5)*((Inputs!$C$68*SIN(($B153))-Inputs!$B$68*COS(($B153)))-Inputs!$B$6)-(F153-Inputs!$B$6)*((Inputs!$C$68*COS(($B153))+Inputs!$B$68*SIN(($B153)))-Inputs!$B$5))/G153)-IF(((((Inputs!$C$68*COS(($B153))+Inputs!$B$68*SIN(($B153)))-Inputs!$B$5)*(E153-Inputs!$B$5)+((Inputs!$C$68*SIN(($B153))-Inputs!$B$68*COS(($B153)))-Inputs!$B$6)*(F153-Inputs!$B$6))/G153)&lt;$B$16,$B$7/2,$B$8/2)-Inputs!$B$39),IF(OR(Inputs!$C$69=0,((((Inputs!$C$69*COS(($B153))+Inputs!$B$69*SIN(($B153)))-Inputs!$B$5)*(E153-Inputs!$B$5)+((Inputs!$C$69*SIN(($B153))-Inputs!$B$69*COS(($B153)))-Inputs!$B$6)*(F153-Inputs!$B$6))/G153)&lt;0,((((Inputs!$C$69*COS(($B153))+Inputs!$B$69*SIN(($B153)))-Inputs!$B$5)*(E153-Inputs!$B$5)+((Inputs!$C$69*SIN(($B153))-Inputs!$B$69*COS(($B153)))-Inputs!$B$6)*(F153-Inputs!$B$6))/G153)&gt;G153-Inputs!$B$40),999,(ABS((E153-Inputs!$B$5)*((Inputs!$C$69*SIN(($B153))-Inputs!$B$69*COS(($B153)))-Inputs!$B$6)-(F153-Inputs!$B$6)*((Inputs!$C$69*COS(($B153))+Inputs!$B$69*SIN(($B153)))-Inputs!$B$5))/G153)-IF(((((Inputs!$C$69*COS(($B153))+Inputs!$B$69*SIN(($B153)))-Inputs!$B$5)*(E153-Inputs!$B$5)+((Inputs!$C$69*SIN(($B153))-Inputs!$B$69*COS(($B153)))-Inputs!$B$6)*(F153-Inputs!$B$6))/G153)&lt;$B$16,$B$7/2,$B$8/2)-Inputs!$B$39),IF(OR(Inputs!$C$70=0,((((Inputs!$C$70*COS(($B153))+Inputs!$B$70*SIN(($B153)))-Inputs!$B$5)*(E153-Inputs!$B$5)+((Inputs!$C$70*SIN(($B153))-Inputs!$B$70*COS(($B153)))-Inputs!$B$6)*(F153-Inputs!$B$6))/G153)&lt;0,((((Inputs!$C$70*COS(($B153))+Inputs!$B$70*SIN(($B153)))-Inputs!$B$5)*(E153-Inputs!$B$5)+((Inputs!$C$70*SIN(($B153))-Inputs!$B$70*COS(($B153)))-Inputs!$B$6)*(F153-Inputs!$B$6))/G153)&gt;G153-Inputs!$B$40),999,(ABS((E153-Inputs!$B$5)*((Inputs!$C$70*SIN(($B153))-Inputs!$B$70*COS(($B153)))-Inputs!$B$6)-(F153-Inputs!$B$6)*((Inputs!$C$70*COS(($B153))+Inputs!$B$70*SIN(($B153)))-Inputs!$B$5))/G153)-IF(((((Inputs!$C$70*COS(($B153))+Inputs!$B$70*SIN(($B153)))-Inputs!$B$5)*(E153-Inputs!$B$5)+((Inputs!$C$70*SIN(($B153))-Inputs!$B$70*COS(($B153)))-Inputs!$B$6)*(F153-Inputs!$B$6))/G153)&lt;$B$16,$B$7/2,$B$8/2)-Inputs!$B$39),IF(OR(Inputs!$C$71=0,((((Inputs!$C$71*COS(($B153))+Inputs!$B$71*SIN(($B153)))-Inputs!$B$5)*(E153-Inputs!$B$5)+((Inputs!$C$71*SIN(($B153))-Inputs!$B$71*COS(($B153)))-Inputs!$B$6)*(F153-Inputs!$B$6))/G153)&lt;0,((((Inputs!$C$71*COS(($B153))+Inputs!$B$71*SIN(($B153)))-Inputs!$B$5)*(E153-Inputs!$B$5)+((Inputs!$C$71*SIN(($B153))-Inputs!$B$71*COS(($B153)))-Inputs!$B$6)*(F153-Inputs!$B$6))/G153)&gt;G153-Inputs!$B$40),999,(ABS((E153-Inputs!$B$5)*((Inputs!$C$71*SIN(($B153))-Inputs!$B$71*COS(($B153)))-Inputs!$B$6)-(F153-Inputs!$B$6)*((Inputs!$C$71*COS(($B153))+Inputs!$B$71*SIN(($B153)))-Inputs!$B$5))/G153)-IF(((((Inputs!$C$71*COS(($B153))+Inputs!$B$71*SIN(($B153)))-Inputs!$B$5)*(E153-Inputs!$B$5)+((Inputs!$C$71*SIN(($B153))-Inputs!$B$71*COS(($B153)))-Inputs!$B$6)*(F153-Inputs!$B$6))/G153)&lt;$B$16,$B$7/2,$B$8/2)-Inputs!$B$39),IF(OR(Inputs!$C$72=0,((((Inputs!$C$72*COS(($B153))+Inputs!$B$72*SIN(($B153)))-Inputs!$B$5)*(E153-Inputs!$B$5)+((Inputs!$C$72*SIN(($B153))-Inputs!$B$72*COS(($B153)))-Inputs!$B$6)*(F153-Inputs!$B$6))/G153)&lt;0,((((Inputs!$C$72*COS(($B153))+Inputs!$B$72*SIN(($B153)))-Inputs!$B$5)*(E153-Inputs!$B$5)+((Inputs!$C$72*SIN(($B153))-Inputs!$B$72*COS(($B153)))-Inputs!$B$6)*(F153-Inputs!$B$6))/G153)&gt;G153-Inputs!$B$40),999,(ABS((E153-Inputs!$B$5)*((Inputs!$C$72*SIN(($B153))-Inputs!$B$72*COS(($B153)))-Inputs!$B$6)-(F153-Inputs!$B$6)*((Inputs!$C$72*COS(($B153))+Inputs!$B$72*SIN(($B153)))-Inputs!$B$5))/G153)-IF(((((Inputs!$C$72*COS(($B153))+Inputs!$B$72*SIN(($B153)))-Inputs!$B$5)*(E153-Inputs!$B$5)+((Inputs!$C$72*SIN(($B153))-Inputs!$B$72*COS(($B153)))-Inputs!$B$6)*(F153-Inputs!$B$6))/G153)&lt;$B$16,$B$7/2,$B$8/2)-Inputs!$B$39))</f>
        <v>51.18543435</v>
      </c>
      <c r="J153" s="76">
        <f>IF(AND(G153&gt;=$B$14,G153&lt;=$B$15,H153&lt;=Inputs!$B$38,I153&gt;=0,$D153=1),1,0)</f>
        <v>0</v>
      </c>
      <c r="K153" s="29">
        <f>Inputs!$B$11*COS((-$B153))-Inputs!$B$7*SIN((-$B153))</f>
        <v>-7.325299233</v>
      </c>
      <c r="L153" s="29">
        <f>Inputs!$B$11*SIN((-$B153))+Inputs!$B$7*COS((-$B153))</f>
        <v>-221.66308</v>
      </c>
      <c r="M153" s="29">
        <f>SQRT((K153-Inputs!$B$5)^2+(L153-Inputs!$B$6)^2)</f>
        <v>411.9265063</v>
      </c>
      <c r="N153" s="29">
        <f>MAX(MAX(Inputs!$B$5,(Inputs!$B$5+(K153-Inputs!$B$5)*MIN(1,$B$16/M153)))+$B$7/2,MAX((Inputs!$B$5+(K153-Inputs!$B$5)*MIN(1,$B$16/M153)),K153)+Inputs!$B$41)</f>
        <v>291.8</v>
      </c>
      <c r="O153" s="29">
        <f>MIN(IF(OR(Inputs!$C$68=0,((((Inputs!$C$68*COS((-$B153))+Inputs!$B$68*SIN((-$B153)))-Inputs!$B$5)*(K153-Inputs!$B$5)+((Inputs!$C$68*SIN((-$B153))-Inputs!$B$68*COS((-$B153)))-Inputs!$B$6)*(L153-Inputs!$B$6))/M153)&lt;0,((((Inputs!$C$68*COS((-$B153))+Inputs!$B$68*SIN((-$B153)))-Inputs!$B$5)*(K153-Inputs!$B$5)+((Inputs!$C$68*SIN((-$B153))-Inputs!$B$68*COS((-$B153)))-Inputs!$B$6)*(L153-Inputs!$B$6))/M153)&gt;M153-Inputs!$B$40),999,(ABS((K153-Inputs!$B$5)*((Inputs!$C$68*SIN((-$B153))-Inputs!$B$68*COS((-$B153)))-Inputs!$B$6)-(L153-Inputs!$B$6)*((Inputs!$C$68*COS((-$B153))+Inputs!$B$68*SIN((-$B153)))-Inputs!$B$5))/M153)-IF(((((Inputs!$C$68*COS((-$B153))+Inputs!$B$68*SIN((-$B153)))-Inputs!$B$5)*(K153-Inputs!$B$5)+((Inputs!$C$68*SIN((-$B153))-Inputs!$B$68*COS((-$B153)))-Inputs!$B$6)*(L153-Inputs!$B$6))/M153)&lt;$B$16,$B$7/2,$B$8/2)-Inputs!$B$39),IF(OR(Inputs!$C$69=0,((((Inputs!$C$69*COS((-$B153))+Inputs!$B$69*SIN((-$B153)))-Inputs!$B$5)*(K153-Inputs!$B$5)+((Inputs!$C$69*SIN((-$B153))-Inputs!$B$69*COS((-$B153)))-Inputs!$B$6)*(L153-Inputs!$B$6))/M153)&lt;0,((((Inputs!$C$69*COS((-$B153))+Inputs!$B$69*SIN((-$B153)))-Inputs!$B$5)*(K153-Inputs!$B$5)+((Inputs!$C$69*SIN((-$B153))-Inputs!$B$69*COS((-$B153)))-Inputs!$B$6)*(L153-Inputs!$B$6))/M153)&gt;M153-Inputs!$B$40),999,(ABS((K153-Inputs!$B$5)*((Inputs!$C$69*SIN((-$B153))-Inputs!$B$69*COS((-$B153)))-Inputs!$B$6)-(L153-Inputs!$B$6)*((Inputs!$C$69*COS((-$B153))+Inputs!$B$69*SIN((-$B153)))-Inputs!$B$5))/M153)-IF(((((Inputs!$C$69*COS((-$B153))+Inputs!$B$69*SIN((-$B153)))-Inputs!$B$5)*(K153-Inputs!$B$5)+((Inputs!$C$69*SIN((-$B153))-Inputs!$B$69*COS((-$B153)))-Inputs!$B$6)*(L153-Inputs!$B$6))/M153)&lt;$B$16,$B$7/2,$B$8/2)-Inputs!$B$39),IF(OR(Inputs!$C$70=0,((((Inputs!$C$70*COS((-$B153))+Inputs!$B$70*SIN((-$B153)))-Inputs!$B$5)*(K153-Inputs!$B$5)+((Inputs!$C$70*SIN((-$B153))-Inputs!$B$70*COS((-$B153)))-Inputs!$B$6)*(L153-Inputs!$B$6))/M153)&lt;0,((((Inputs!$C$70*COS((-$B153))+Inputs!$B$70*SIN((-$B153)))-Inputs!$B$5)*(K153-Inputs!$B$5)+((Inputs!$C$70*SIN((-$B153))-Inputs!$B$70*COS((-$B153)))-Inputs!$B$6)*(L153-Inputs!$B$6))/M153)&gt;M153-Inputs!$B$40),999,(ABS((K153-Inputs!$B$5)*((Inputs!$C$70*SIN((-$B153))-Inputs!$B$70*COS((-$B153)))-Inputs!$B$6)-(L153-Inputs!$B$6)*((Inputs!$C$70*COS((-$B153))+Inputs!$B$70*SIN((-$B153)))-Inputs!$B$5))/M153)-IF(((((Inputs!$C$70*COS((-$B153))+Inputs!$B$70*SIN((-$B153)))-Inputs!$B$5)*(K153-Inputs!$B$5)+((Inputs!$C$70*SIN((-$B153))-Inputs!$B$70*COS((-$B153)))-Inputs!$B$6)*(L153-Inputs!$B$6))/M153)&lt;$B$16,$B$7/2,$B$8/2)-Inputs!$B$39),IF(OR(Inputs!$C$71=0,((((Inputs!$C$71*COS((-$B153))+Inputs!$B$71*SIN((-$B153)))-Inputs!$B$5)*(K153-Inputs!$B$5)+((Inputs!$C$71*SIN((-$B153))-Inputs!$B$71*COS((-$B153)))-Inputs!$B$6)*(L153-Inputs!$B$6))/M153)&lt;0,((((Inputs!$C$71*COS((-$B153))+Inputs!$B$71*SIN((-$B153)))-Inputs!$B$5)*(K153-Inputs!$B$5)+((Inputs!$C$71*SIN((-$B153))-Inputs!$B$71*COS((-$B153)))-Inputs!$B$6)*(L153-Inputs!$B$6))/M153)&gt;M153-Inputs!$B$40),999,(ABS((K153-Inputs!$B$5)*((Inputs!$C$71*SIN((-$B153))-Inputs!$B$71*COS((-$B153)))-Inputs!$B$6)-(L153-Inputs!$B$6)*((Inputs!$C$71*COS((-$B153))+Inputs!$B$71*SIN((-$B153)))-Inputs!$B$5))/M153)-IF(((((Inputs!$C$71*COS((-$B153))+Inputs!$B$71*SIN((-$B153)))-Inputs!$B$5)*(K153-Inputs!$B$5)+((Inputs!$C$71*SIN((-$B153))-Inputs!$B$71*COS((-$B153)))-Inputs!$B$6)*(L153-Inputs!$B$6))/M153)&lt;$B$16,$B$7/2,$B$8/2)-Inputs!$B$39),IF(OR(Inputs!$C$72=0,((((Inputs!$C$72*COS((-$B153))+Inputs!$B$72*SIN((-$B153)))-Inputs!$B$5)*(K153-Inputs!$B$5)+((Inputs!$C$72*SIN((-$B153))-Inputs!$B$72*COS((-$B153)))-Inputs!$B$6)*(L153-Inputs!$B$6))/M153)&lt;0,((((Inputs!$C$72*COS((-$B153))+Inputs!$B$72*SIN((-$B153)))-Inputs!$B$5)*(K153-Inputs!$B$5)+((Inputs!$C$72*SIN((-$B153))-Inputs!$B$72*COS((-$B153)))-Inputs!$B$6)*(L153-Inputs!$B$6))/M153)&gt;M153-Inputs!$B$40),999,(ABS((K153-Inputs!$B$5)*((Inputs!$C$72*SIN((-$B153))-Inputs!$B$72*COS((-$B153)))-Inputs!$B$6)-(L153-Inputs!$B$6)*((Inputs!$C$72*COS((-$B153))+Inputs!$B$72*SIN((-$B153)))-Inputs!$B$5))/M153)-IF(((((Inputs!$C$72*COS((-$B153))+Inputs!$B$72*SIN((-$B153)))-Inputs!$B$5)*(K153-Inputs!$B$5)+((Inputs!$C$72*SIN((-$B153))-Inputs!$B$72*COS((-$B153)))-Inputs!$B$6)*(L153-Inputs!$B$6))/M153)&lt;$B$16,$B$7/2,$B$8/2)-Inputs!$B$39))</f>
        <v>15.85362334</v>
      </c>
      <c r="P153" s="76">
        <f>IF(AND(M153&gt;=$B$14,M153&lt;=$B$15,N153&lt;=Inputs!$B$38,O153&gt;=0,$D153=1),1,0)</f>
        <v>0</v>
      </c>
    </row>
    <row r="154" ht="15.75" customHeight="1">
      <c r="A154" s="23">
        <v>27.75</v>
      </c>
      <c r="B154" s="40">
        <f t="shared" si="4"/>
        <v>0.4843288674</v>
      </c>
      <c r="C154" s="29">
        <f>MAX(Inputs!$C$68*COS($B154)+Inputs!$B$68*ABS(SIN($B154)),Inputs!$C$69*COS($B154)+Inputs!$B$69*ABS(SIN($B154)),Inputs!$C$70*COS($B154)+Inputs!$B$70*ABS(SIN($B154)),Inputs!$C$71*COS($B154)+Inputs!$B$71*ABS(SIN($B154)),Inputs!$C$72*COS($B154)+Inputs!$B$72*ABS(SIN($B154)))</f>
        <v>255.5442891</v>
      </c>
      <c r="D154" s="108">
        <f>IF(C154&lt;=Inputs!$B$38,1,0)</f>
        <v>1</v>
      </c>
      <c r="E154" s="29">
        <f>Inputs!$B$11*COS(($B154))-Inputs!$B$7*SIN(($B154))</f>
        <v>177.9533941</v>
      </c>
      <c r="F154" s="29">
        <f>Inputs!$B$11*SIN(($B154))+Inputs!$B$7*COS(($B154))</f>
        <v>-132.3660476</v>
      </c>
      <c r="G154" s="29">
        <f>SQRT((E154-Inputs!$B$5)^2+(F154-Inputs!$B$6)^2)</f>
        <v>243.2790446</v>
      </c>
      <c r="H154" s="29">
        <f>MAX(MAX(Inputs!$B$5,(Inputs!$B$5+(E154-Inputs!$B$5)*MIN(1,$B$16/G154)))+$B$7/2,MAX((Inputs!$B$5+(E154-Inputs!$B$5)*MIN(1,$B$16/G154)),E154)+Inputs!$B$41)</f>
        <v>291.8</v>
      </c>
      <c r="I154" s="29">
        <f>MIN(IF(OR(Inputs!$C$68=0,((((Inputs!$C$68*COS(($B154))+Inputs!$B$68*SIN(($B154)))-Inputs!$B$5)*(E154-Inputs!$B$5)+((Inputs!$C$68*SIN(($B154))-Inputs!$B$68*COS(($B154)))-Inputs!$B$6)*(F154-Inputs!$B$6))/G154)&lt;0,((((Inputs!$C$68*COS(($B154))+Inputs!$B$68*SIN(($B154)))-Inputs!$B$5)*(E154-Inputs!$B$5)+((Inputs!$C$68*SIN(($B154))-Inputs!$B$68*COS(($B154)))-Inputs!$B$6)*(F154-Inputs!$B$6))/G154)&gt;G154-Inputs!$B$40),999,(ABS((E154-Inputs!$B$5)*((Inputs!$C$68*SIN(($B154))-Inputs!$B$68*COS(($B154)))-Inputs!$B$6)-(F154-Inputs!$B$6)*((Inputs!$C$68*COS(($B154))+Inputs!$B$68*SIN(($B154)))-Inputs!$B$5))/G154)-IF(((((Inputs!$C$68*COS(($B154))+Inputs!$B$68*SIN(($B154)))-Inputs!$B$5)*(E154-Inputs!$B$5)+((Inputs!$C$68*SIN(($B154))-Inputs!$B$68*COS(($B154)))-Inputs!$B$6)*(F154-Inputs!$B$6))/G154)&lt;$B$16,$B$7/2,$B$8/2)-Inputs!$B$39),IF(OR(Inputs!$C$69=0,((((Inputs!$C$69*COS(($B154))+Inputs!$B$69*SIN(($B154)))-Inputs!$B$5)*(E154-Inputs!$B$5)+((Inputs!$C$69*SIN(($B154))-Inputs!$B$69*COS(($B154)))-Inputs!$B$6)*(F154-Inputs!$B$6))/G154)&lt;0,((((Inputs!$C$69*COS(($B154))+Inputs!$B$69*SIN(($B154)))-Inputs!$B$5)*(E154-Inputs!$B$5)+((Inputs!$C$69*SIN(($B154))-Inputs!$B$69*COS(($B154)))-Inputs!$B$6)*(F154-Inputs!$B$6))/G154)&gt;G154-Inputs!$B$40),999,(ABS((E154-Inputs!$B$5)*((Inputs!$C$69*SIN(($B154))-Inputs!$B$69*COS(($B154)))-Inputs!$B$6)-(F154-Inputs!$B$6)*((Inputs!$C$69*COS(($B154))+Inputs!$B$69*SIN(($B154)))-Inputs!$B$5))/G154)-IF(((((Inputs!$C$69*COS(($B154))+Inputs!$B$69*SIN(($B154)))-Inputs!$B$5)*(E154-Inputs!$B$5)+((Inputs!$C$69*SIN(($B154))-Inputs!$B$69*COS(($B154)))-Inputs!$B$6)*(F154-Inputs!$B$6))/G154)&lt;$B$16,$B$7/2,$B$8/2)-Inputs!$B$39),IF(OR(Inputs!$C$70=0,((((Inputs!$C$70*COS(($B154))+Inputs!$B$70*SIN(($B154)))-Inputs!$B$5)*(E154-Inputs!$B$5)+((Inputs!$C$70*SIN(($B154))-Inputs!$B$70*COS(($B154)))-Inputs!$B$6)*(F154-Inputs!$B$6))/G154)&lt;0,((((Inputs!$C$70*COS(($B154))+Inputs!$B$70*SIN(($B154)))-Inputs!$B$5)*(E154-Inputs!$B$5)+((Inputs!$C$70*SIN(($B154))-Inputs!$B$70*COS(($B154)))-Inputs!$B$6)*(F154-Inputs!$B$6))/G154)&gt;G154-Inputs!$B$40),999,(ABS((E154-Inputs!$B$5)*((Inputs!$C$70*SIN(($B154))-Inputs!$B$70*COS(($B154)))-Inputs!$B$6)-(F154-Inputs!$B$6)*((Inputs!$C$70*COS(($B154))+Inputs!$B$70*SIN(($B154)))-Inputs!$B$5))/G154)-IF(((((Inputs!$C$70*COS(($B154))+Inputs!$B$70*SIN(($B154)))-Inputs!$B$5)*(E154-Inputs!$B$5)+((Inputs!$C$70*SIN(($B154))-Inputs!$B$70*COS(($B154)))-Inputs!$B$6)*(F154-Inputs!$B$6))/G154)&lt;$B$16,$B$7/2,$B$8/2)-Inputs!$B$39),IF(OR(Inputs!$C$71=0,((((Inputs!$C$71*COS(($B154))+Inputs!$B$71*SIN(($B154)))-Inputs!$B$5)*(E154-Inputs!$B$5)+((Inputs!$C$71*SIN(($B154))-Inputs!$B$71*COS(($B154)))-Inputs!$B$6)*(F154-Inputs!$B$6))/G154)&lt;0,((((Inputs!$C$71*COS(($B154))+Inputs!$B$71*SIN(($B154)))-Inputs!$B$5)*(E154-Inputs!$B$5)+((Inputs!$C$71*SIN(($B154))-Inputs!$B$71*COS(($B154)))-Inputs!$B$6)*(F154-Inputs!$B$6))/G154)&gt;G154-Inputs!$B$40),999,(ABS((E154-Inputs!$B$5)*((Inputs!$C$71*SIN(($B154))-Inputs!$B$71*COS(($B154)))-Inputs!$B$6)-(F154-Inputs!$B$6)*((Inputs!$C$71*COS(($B154))+Inputs!$B$71*SIN(($B154)))-Inputs!$B$5))/G154)-IF(((((Inputs!$C$71*COS(($B154))+Inputs!$B$71*SIN(($B154)))-Inputs!$B$5)*(E154-Inputs!$B$5)+((Inputs!$C$71*SIN(($B154))-Inputs!$B$71*COS(($B154)))-Inputs!$B$6)*(F154-Inputs!$B$6))/G154)&lt;$B$16,$B$7/2,$B$8/2)-Inputs!$B$39),IF(OR(Inputs!$C$72=0,((((Inputs!$C$72*COS(($B154))+Inputs!$B$72*SIN(($B154)))-Inputs!$B$5)*(E154-Inputs!$B$5)+((Inputs!$C$72*SIN(($B154))-Inputs!$B$72*COS(($B154)))-Inputs!$B$6)*(F154-Inputs!$B$6))/G154)&lt;0,((((Inputs!$C$72*COS(($B154))+Inputs!$B$72*SIN(($B154)))-Inputs!$B$5)*(E154-Inputs!$B$5)+((Inputs!$C$72*SIN(($B154))-Inputs!$B$72*COS(($B154)))-Inputs!$B$6)*(F154-Inputs!$B$6))/G154)&gt;G154-Inputs!$B$40),999,(ABS((E154-Inputs!$B$5)*((Inputs!$C$72*SIN(($B154))-Inputs!$B$72*COS(($B154)))-Inputs!$B$6)-(F154-Inputs!$B$6)*((Inputs!$C$72*COS(($B154))+Inputs!$B$72*SIN(($B154)))-Inputs!$B$5))/G154)-IF(((((Inputs!$C$72*COS(($B154))+Inputs!$B$72*SIN(($B154)))-Inputs!$B$5)*(E154-Inputs!$B$5)+((Inputs!$C$72*SIN(($B154))-Inputs!$B$72*COS(($B154)))-Inputs!$B$6)*(F154-Inputs!$B$6))/G154)&lt;$B$16,$B$7/2,$B$8/2)-Inputs!$B$39))</f>
        <v>51.34495211</v>
      </c>
      <c r="J154" s="76">
        <f>IF(AND(G154&gt;=$B$14,G154&lt;=$B$15,H154&lt;=Inputs!$B$38,I154&gt;=0,$D154=1),1,0)</f>
        <v>0</v>
      </c>
      <c r="K154" s="29">
        <f>Inputs!$B$11*COS((-$B154))-Inputs!$B$7*SIN((-$B154))</f>
        <v>-8.292414076</v>
      </c>
      <c r="L154" s="29">
        <f>Inputs!$B$11*SIN((-$B154))+Inputs!$B$7*COS((-$B154))</f>
        <v>-221.6290073</v>
      </c>
      <c r="M154" s="29">
        <f>SQRT((K154-Inputs!$B$5)^2+(L154-Inputs!$B$6)^2)</f>
        <v>412.5047752</v>
      </c>
      <c r="N154" s="29">
        <f>MAX(MAX(Inputs!$B$5,(Inputs!$B$5+(K154-Inputs!$B$5)*MIN(1,$B$16/M154)))+$B$7/2,MAX((Inputs!$B$5+(K154-Inputs!$B$5)*MIN(1,$B$16/M154)),K154)+Inputs!$B$41)</f>
        <v>291.8</v>
      </c>
      <c r="O154" s="29">
        <f>MIN(IF(OR(Inputs!$C$68=0,((((Inputs!$C$68*COS((-$B154))+Inputs!$B$68*SIN((-$B154)))-Inputs!$B$5)*(K154-Inputs!$B$5)+((Inputs!$C$68*SIN((-$B154))-Inputs!$B$68*COS((-$B154)))-Inputs!$B$6)*(L154-Inputs!$B$6))/M154)&lt;0,((((Inputs!$C$68*COS((-$B154))+Inputs!$B$68*SIN((-$B154)))-Inputs!$B$5)*(K154-Inputs!$B$5)+((Inputs!$C$68*SIN((-$B154))-Inputs!$B$68*COS((-$B154)))-Inputs!$B$6)*(L154-Inputs!$B$6))/M154)&gt;M154-Inputs!$B$40),999,(ABS((K154-Inputs!$B$5)*((Inputs!$C$68*SIN((-$B154))-Inputs!$B$68*COS((-$B154)))-Inputs!$B$6)-(L154-Inputs!$B$6)*((Inputs!$C$68*COS((-$B154))+Inputs!$B$68*SIN((-$B154)))-Inputs!$B$5))/M154)-IF(((((Inputs!$C$68*COS((-$B154))+Inputs!$B$68*SIN((-$B154)))-Inputs!$B$5)*(K154-Inputs!$B$5)+((Inputs!$C$68*SIN((-$B154))-Inputs!$B$68*COS((-$B154)))-Inputs!$B$6)*(L154-Inputs!$B$6))/M154)&lt;$B$16,$B$7/2,$B$8/2)-Inputs!$B$39),IF(OR(Inputs!$C$69=0,((((Inputs!$C$69*COS((-$B154))+Inputs!$B$69*SIN((-$B154)))-Inputs!$B$5)*(K154-Inputs!$B$5)+((Inputs!$C$69*SIN((-$B154))-Inputs!$B$69*COS((-$B154)))-Inputs!$B$6)*(L154-Inputs!$B$6))/M154)&lt;0,((((Inputs!$C$69*COS((-$B154))+Inputs!$B$69*SIN((-$B154)))-Inputs!$B$5)*(K154-Inputs!$B$5)+((Inputs!$C$69*SIN((-$B154))-Inputs!$B$69*COS((-$B154)))-Inputs!$B$6)*(L154-Inputs!$B$6))/M154)&gt;M154-Inputs!$B$40),999,(ABS((K154-Inputs!$B$5)*((Inputs!$C$69*SIN((-$B154))-Inputs!$B$69*COS((-$B154)))-Inputs!$B$6)-(L154-Inputs!$B$6)*((Inputs!$C$69*COS((-$B154))+Inputs!$B$69*SIN((-$B154)))-Inputs!$B$5))/M154)-IF(((((Inputs!$C$69*COS((-$B154))+Inputs!$B$69*SIN((-$B154)))-Inputs!$B$5)*(K154-Inputs!$B$5)+((Inputs!$C$69*SIN((-$B154))-Inputs!$B$69*COS((-$B154)))-Inputs!$B$6)*(L154-Inputs!$B$6))/M154)&lt;$B$16,$B$7/2,$B$8/2)-Inputs!$B$39),IF(OR(Inputs!$C$70=0,((((Inputs!$C$70*COS((-$B154))+Inputs!$B$70*SIN((-$B154)))-Inputs!$B$5)*(K154-Inputs!$B$5)+((Inputs!$C$70*SIN((-$B154))-Inputs!$B$70*COS((-$B154)))-Inputs!$B$6)*(L154-Inputs!$B$6))/M154)&lt;0,((((Inputs!$C$70*COS((-$B154))+Inputs!$B$70*SIN((-$B154)))-Inputs!$B$5)*(K154-Inputs!$B$5)+((Inputs!$C$70*SIN((-$B154))-Inputs!$B$70*COS((-$B154)))-Inputs!$B$6)*(L154-Inputs!$B$6))/M154)&gt;M154-Inputs!$B$40),999,(ABS((K154-Inputs!$B$5)*((Inputs!$C$70*SIN((-$B154))-Inputs!$B$70*COS((-$B154)))-Inputs!$B$6)-(L154-Inputs!$B$6)*((Inputs!$C$70*COS((-$B154))+Inputs!$B$70*SIN((-$B154)))-Inputs!$B$5))/M154)-IF(((((Inputs!$C$70*COS((-$B154))+Inputs!$B$70*SIN((-$B154)))-Inputs!$B$5)*(K154-Inputs!$B$5)+((Inputs!$C$70*SIN((-$B154))-Inputs!$B$70*COS((-$B154)))-Inputs!$B$6)*(L154-Inputs!$B$6))/M154)&lt;$B$16,$B$7/2,$B$8/2)-Inputs!$B$39),IF(OR(Inputs!$C$71=0,((((Inputs!$C$71*COS((-$B154))+Inputs!$B$71*SIN((-$B154)))-Inputs!$B$5)*(K154-Inputs!$B$5)+((Inputs!$C$71*SIN((-$B154))-Inputs!$B$71*COS((-$B154)))-Inputs!$B$6)*(L154-Inputs!$B$6))/M154)&lt;0,((((Inputs!$C$71*COS((-$B154))+Inputs!$B$71*SIN((-$B154)))-Inputs!$B$5)*(K154-Inputs!$B$5)+((Inputs!$C$71*SIN((-$B154))-Inputs!$B$71*COS((-$B154)))-Inputs!$B$6)*(L154-Inputs!$B$6))/M154)&gt;M154-Inputs!$B$40),999,(ABS((K154-Inputs!$B$5)*((Inputs!$C$71*SIN((-$B154))-Inputs!$B$71*COS((-$B154)))-Inputs!$B$6)-(L154-Inputs!$B$6)*((Inputs!$C$71*COS((-$B154))+Inputs!$B$71*SIN((-$B154)))-Inputs!$B$5))/M154)-IF(((((Inputs!$C$71*COS((-$B154))+Inputs!$B$71*SIN((-$B154)))-Inputs!$B$5)*(K154-Inputs!$B$5)+((Inputs!$C$71*SIN((-$B154))-Inputs!$B$71*COS((-$B154)))-Inputs!$B$6)*(L154-Inputs!$B$6))/M154)&lt;$B$16,$B$7/2,$B$8/2)-Inputs!$B$39),IF(OR(Inputs!$C$72=0,((((Inputs!$C$72*COS((-$B154))+Inputs!$B$72*SIN((-$B154)))-Inputs!$B$5)*(K154-Inputs!$B$5)+((Inputs!$C$72*SIN((-$B154))-Inputs!$B$72*COS((-$B154)))-Inputs!$B$6)*(L154-Inputs!$B$6))/M154)&lt;0,((((Inputs!$C$72*COS((-$B154))+Inputs!$B$72*SIN((-$B154)))-Inputs!$B$5)*(K154-Inputs!$B$5)+((Inputs!$C$72*SIN((-$B154))-Inputs!$B$72*COS((-$B154)))-Inputs!$B$6)*(L154-Inputs!$B$6))/M154)&gt;M154-Inputs!$B$40),999,(ABS((K154-Inputs!$B$5)*((Inputs!$C$72*SIN((-$B154))-Inputs!$B$72*COS((-$B154)))-Inputs!$B$6)-(L154-Inputs!$B$6)*((Inputs!$C$72*COS((-$B154))+Inputs!$B$72*SIN((-$B154)))-Inputs!$B$5))/M154)-IF(((((Inputs!$C$72*COS((-$B154))+Inputs!$B$72*SIN((-$B154)))-Inputs!$B$5)*(K154-Inputs!$B$5)+((Inputs!$C$72*SIN((-$B154))-Inputs!$B$72*COS((-$B154)))-Inputs!$B$6)*(L154-Inputs!$B$6))/M154)&lt;$B$16,$B$7/2,$B$8/2)-Inputs!$B$39))</f>
        <v>15.51609047</v>
      </c>
      <c r="P154" s="76">
        <f>IF(AND(M154&gt;=$B$14,M154&lt;=$B$15,N154&lt;=Inputs!$B$38,O154&gt;=0,$D154=1),1,0)</f>
        <v>0</v>
      </c>
    </row>
    <row r="155" ht="15.75" customHeight="1">
      <c r="A155" s="23">
        <v>28.0</v>
      </c>
      <c r="B155" s="40">
        <f t="shared" si="4"/>
        <v>0.4886921906</v>
      </c>
      <c r="C155" s="29">
        <f>MAX(Inputs!$C$68*COS($B155)+Inputs!$B$68*ABS(SIN($B155)),Inputs!$C$69*COS($B155)+Inputs!$B$69*ABS(SIN($B155)),Inputs!$C$70*COS($B155)+Inputs!$B$70*ABS(SIN($B155)),Inputs!$C$71*COS($B155)+Inputs!$B$71*ABS(SIN($B155)),Inputs!$C$72*COS($B155)+Inputs!$B$72*ABS(SIN($B155)))</f>
        <v>256.9208435</v>
      </c>
      <c r="D155" s="108">
        <f>IF(C155&lt;=Inputs!$B$38,1,0)</f>
        <v>1</v>
      </c>
      <c r="E155" s="29">
        <f>Inputs!$B$11*COS(($B155))-Inputs!$B$7*SIN(($B155))</f>
        <v>178.5292541</v>
      </c>
      <c r="F155" s="29">
        <f>Inputs!$B$11*SIN(($B155))+Inputs!$B$7*COS(($B155))</f>
        <v>-131.5883219</v>
      </c>
      <c r="G155" s="29">
        <f>SQRT((E155-Inputs!$B$5)^2+(F155-Inputs!$B$6)^2)</f>
        <v>242.3658771</v>
      </c>
      <c r="H155" s="29">
        <f>MAX(MAX(Inputs!$B$5,(Inputs!$B$5+(E155-Inputs!$B$5)*MIN(1,$B$16/G155)))+$B$7/2,MAX((Inputs!$B$5+(E155-Inputs!$B$5)*MIN(1,$B$16/G155)),E155)+Inputs!$B$41)</f>
        <v>291.8</v>
      </c>
      <c r="I155" s="29">
        <f>MIN(IF(OR(Inputs!$C$68=0,((((Inputs!$C$68*COS(($B155))+Inputs!$B$68*SIN(($B155)))-Inputs!$B$5)*(E155-Inputs!$B$5)+((Inputs!$C$68*SIN(($B155))-Inputs!$B$68*COS(($B155)))-Inputs!$B$6)*(F155-Inputs!$B$6))/G155)&lt;0,((((Inputs!$C$68*COS(($B155))+Inputs!$B$68*SIN(($B155)))-Inputs!$B$5)*(E155-Inputs!$B$5)+((Inputs!$C$68*SIN(($B155))-Inputs!$B$68*COS(($B155)))-Inputs!$B$6)*(F155-Inputs!$B$6))/G155)&gt;G155-Inputs!$B$40),999,(ABS((E155-Inputs!$B$5)*((Inputs!$C$68*SIN(($B155))-Inputs!$B$68*COS(($B155)))-Inputs!$B$6)-(F155-Inputs!$B$6)*((Inputs!$C$68*COS(($B155))+Inputs!$B$68*SIN(($B155)))-Inputs!$B$5))/G155)-IF(((((Inputs!$C$68*COS(($B155))+Inputs!$B$68*SIN(($B155)))-Inputs!$B$5)*(E155-Inputs!$B$5)+((Inputs!$C$68*SIN(($B155))-Inputs!$B$68*COS(($B155)))-Inputs!$B$6)*(F155-Inputs!$B$6))/G155)&lt;$B$16,$B$7/2,$B$8/2)-Inputs!$B$39),IF(OR(Inputs!$C$69=0,((((Inputs!$C$69*COS(($B155))+Inputs!$B$69*SIN(($B155)))-Inputs!$B$5)*(E155-Inputs!$B$5)+((Inputs!$C$69*SIN(($B155))-Inputs!$B$69*COS(($B155)))-Inputs!$B$6)*(F155-Inputs!$B$6))/G155)&lt;0,((((Inputs!$C$69*COS(($B155))+Inputs!$B$69*SIN(($B155)))-Inputs!$B$5)*(E155-Inputs!$B$5)+((Inputs!$C$69*SIN(($B155))-Inputs!$B$69*COS(($B155)))-Inputs!$B$6)*(F155-Inputs!$B$6))/G155)&gt;G155-Inputs!$B$40),999,(ABS((E155-Inputs!$B$5)*((Inputs!$C$69*SIN(($B155))-Inputs!$B$69*COS(($B155)))-Inputs!$B$6)-(F155-Inputs!$B$6)*((Inputs!$C$69*COS(($B155))+Inputs!$B$69*SIN(($B155)))-Inputs!$B$5))/G155)-IF(((((Inputs!$C$69*COS(($B155))+Inputs!$B$69*SIN(($B155)))-Inputs!$B$5)*(E155-Inputs!$B$5)+((Inputs!$C$69*SIN(($B155))-Inputs!$B$69*COS(($B155)))-Inputs!$B$6)*(F155-Inputs!$B$6))/G155)&lt;$B$16,$B$7/2,$B$8/2)-Inputs!$B$39),IF(OR(Inputs!$C$70=0,((((Inputs!$C$70*COS(($B155))+Inputs!$B$70*SIN(($B155)))-Inputs!$B$5)*(E155-Inputs!$B$5)+((Inputs!$C$70*SIN(($B155))-Inputs!$B$70*COS(($B155)))-Inputs!$B$6)*(F155-Inputs!$B$6))/G155)&lt;0,((((Inputs!$C$70*COS(($B155))+Inputs!$B$70*SIN(($B155)))-Inputs!$B$5)*(E155-Inputs!$B$5)+((Inputs!$C$70*SIN(($B155))-Inputs!$B$70*COS(($B155)))-Inputs!$B$6)*(F155-Inputs!$B$6))/G155)&gt;G155-Inputs!$B$40),999,(ABS((E155-Inputs!$B$5)*((Inputs!$C$70*SIN(($B155))-Inputs!$B$70*COS(($B155)))-Inputs!$B$6)-(F155-Inputs!$B$6)*((Inputs!$C$70*COS(($B155))+Inputs!$B$70*SIN(($B155)))-Inputs!$B$5))/G155)-IF(((((Inputs!$C$70*COS(($B155))+Inputs!$B$70*SIN(($B155)))-Inputs!$B$5)*(E155-Inputs!$B$5)+((Inputs!$C$70*SIN(($B155))-Inputs!$B$70*COS(($B155)))-Inputs!$B$6)*(F155-Inputs!$B$6))/G155)&lt;$B$16,$B$7/2,$B$8/2)-Inputs!$B$39),IF(OR(Inputs!$C$71=0,((((Inputs!$C$71*COS(($B155))+Inputs!$B$71*SIN(($B155)))-Inputs!$B$5)*(E155-Inputs!$B$5)+((Inputs!$C$71*SIN(($B155))-Inputs!$B$71*COS(($B155)))-Inputs!$B$6)*(F155-Inputs!$B$6))/G155)&lt;0,((((Inputs!$C$71*COS(($B155))+Inputs!$B$71*SIN(($B155)))-Inputs!$B$5)*(E155-Inputs!$B$5)+((Inputs!$C$71*SIN(($B155))-Inputs!$B$71*COS(($B155)))-Inputs!$B$6)*(F155-Inputs!$B$6))/G155)&gt;G155-Inputs!$B$40),999,(ABS((E155-Inputs!$B$5)*((Inputs!$C$71*SIN(($B155))-Inputs!$B$71*COS(($B155)))-Inputs!$B$6)-(F155-Inputs!$B$6)*((Inputs!$C$71*COS(($B155))+Inputs!$B$71*SIN(($B155)))-Inputs!$B$5))/G155)-IF(((((Inputs!$C$71*COS(($B155))+Inputs!$B$71*SIN(($B155)))-Inputs!$B$5)*(E155-Inputs!$B$5)+((Inputs!$C$71*SIN(($B155))-Inputs!$B$71*COS(($B155)))-Inputs!$B$6)*(F155-Inputs!$B$6))/G155)&lt;$B$16,$B$7/2,$B$8/2)-Inputs!$B$39),IF(OR(Inputs!$C$72=0,((((Inputs!$C$72*COS(($B155))+Inputs!$B$72*SIN(($B155)))-Inputs!$B$5)*(E155-Inputs!$B$5)+((Inputs!$C$72*SIN(($B155))-Inputs!$B$72*COS(($B155)))-Inputs!$B$6)*(F155-Inputs!$B$6))/G155)&lt;0,((((Inputs!$C$72*COS(($B155))+Inputs!$B$72*SIN(($B155)))-Inputs!$B$5)*(E155-Inputs!$B$5)+((Inputs!$C$72*SIN(($B155))-Inputs!$B$72*COS(($B155)))-Inputs!$B$6)*(F155-Inputs!$B$6))/G155)&gt;G155-Inputs!$B$40),999,(ABS((E155-Inputs!$B$5)*((Inputs!$C$72*SIN(($B155))-Inputs!$B$72*COS(($B155)))-Inputs!$B$6)-(F155-Inputs!$B$6)*((Inputs!$C$72*COS(($B155))+Inputs!$B$72*SIN(($B155)))-Inputs!$B$5))/G155)-IF(((((Inputs!$C$72*COS(($B155))+Inputs!$B$72*SIN(($B155)))-Inputs!$B$5)*(E155-Inputs!$B$5)+((Inputs!$C$72*SIN(($B155))-Inputs!$B$72*COS(($B155)))-Inputs!$B$6)*(F155-Inputs!$B$6))/G155)&lt;$B$16,$B$7/2,$B$8/2)-Inputs!$B$39))</f>
        <v>51.50391839</v>
      </c>
      <c r="J155" s="76">
        <f>IF(AND(G155&gt;=$B$14,G155&lt;=$B$15,H155&lt;=Inputs!$B$38,I155&gt;=0,$D155=1),1,0)</f>
        <v>0</v>
      </c>
      <c r="K155" s="29">
        <f>Inputs!$B$11*COS((-$B155))-Inputs!$B$7*SIN((-$B155))</f>
        <v>-9.259371044</v>
      </c>
      <c r="L155" s="29">
        <f>Inputs!$B$11*SIN((-$B155))+Inputs!$B$7*COS((-$B155))</f>
        <v>-221.5907152</v>
      </c>
      <c r="M155" s="29">
        <f>SQRT((K155-Inputs!$B$5)^2+(L155-Inputs!$B$6)^2)</f>
        <v>413.0811174</v>
      </c>
      <c r="N155" s="29">
        <f>MAX(MAX(Inputs!$B$5,(Inputs!$B$5+(K155-Inputs!$B$5)*MIN(1,$B$16/M155)))+$B$7/2,MAX((Inputs!$B$5+(K155-Inputs!$B$5)*MIN(1,$B$16/M155)),K155)+Inputs!$B$41)</f>
        <v>291.8</v>
      </c>
      <c r="O155" s="29">
        <f>MIN(IF(OR(Inputs!$C$68=0,((((Inputs!$C$68*COS((-$B155))+Inputs!$B$68*SIN((-$B155)))-Inputs!$B$5)*(K155-Inputs!$B$5)+((Inputs!$C$68*SIN((-$B155))-Inputs!$B$68*COS((-$B155)))-Inputs!$B$6)*(L155-Inputs!$B$6))/M155)&lt;0,((((Inputs!$C$68*COS((-$B155))+Inputs!$B$68*SIN((-$B155)))-Inputs!$B$5)*(K155-Inputs!$B$5)+((Inputs!$C$68*SIN((-$B155))-Inputs!$B$68*COS((-$B155)))-Inputs!$B$6)*(L155-Inputs!$B$6))/M155)&gt;M155-Inputs!$B$40),999,(ABS((K155-Inputs!$B$5)*((Inputs!$C$68*SIN((-$B155))-Inputs!$B$68*COS((-$B155)))-Inputs!$B$6)-(L155-Inputs!$B$6)*((Inputs!$C$68*COS((-$B155))+Inputs!$B$68*SIN((-$B155)))-Inputs!$B$5))/M155)-IF(((((Inputs!$C$68*COS((-$B155))+Inputs!$B$68*SIN((-$B155)))-Inputs!$B$5)*(K155-Inputs!$B$5)+((Inputs!$C$68*SIN((-$B155))-Inputs!$B$68*COS((-$B155)))-Inputs!$B$6)*(L155-Inputs!$B$6))/M155)&lt;$B$16,$B$7/2,$B$8/2)-Inputs!$B$39),IF(OR(Inputs!$C$69=0,((((Inputs!$C$69*COS((-$B155))+Inputs!$B$69*SIN((-$B155)))-Inputs!$B$5)*(K155-Inputs!$B$5)+((Inputs!$C$69*SIN((-$B155))-Inputs!$B$69*COS((-$B155)))-Inputs!$B$6)*(L155-Inputs!$B$6))/M155)&lt;0,((((Inputs!$C$69*COS((-$B155))+Inputs!$B$69*SIN((-$B155)))-Inputs!$B$5)*(K155-Inputs!$B$5)+((Inputs!$C$69*SIN((-$B155))-Inputs!$B$69*COS((-$B155)))-Inputs!$B$6)*(L155-Inputs!$B$6))/M155)&gt;M155-Inputs!$B$40),999,(ABS((K155-Inputs!$B$5)*((Inputs!$C$69*SIN((-$B155))-Inputs!$B$69*COS((-$B155)))-Inputs!$B$6)-(L155-Inputs!$B$6)*((Inputs!$C$69*COS((-$B155))+Inputs!$B$69*SIN((-$B155)))-Inputs!$B$5))/M155)-IF(((((Inputs!$C$69*COS((-$B155))+Inputs!$B$69*SIN((-$B155)))-Inputs!$B$5)*(K155-Inputs!$B$5)+((Inputs!$C$69*SIN((-$B155))-Inputs!$B$69*COS((-$B155)))-Inputs!$B$6)*(L155-Inputs!$B$6))/M155)&lt;$B$16,$B$7/2,$B$8/2)-Inputs!$B$39),IF(OR(Inputs!$C$70=0,((((Inputs!$C$70*COS((-$B155))+Inputs!$B$70*SIN((-$B155)))-Inputs!$B$5)*(K155-Inputs!$B$5)+((Inputs!$C$70*SIN((-$B155))-Inputs!$B$70*COS((-$B155)))-Inputs!$B$6)*(L155-Inputs!$B$6))/M155)&lt;0,((((Inputs!$C$70*COS((-$B155))+Inputs!$B$70*SIN((-$B155)))-Inputs!$B$5)*(K155-Inputs!$B$5)+((Inputs!$C$70*SIN((-$B155))-Inputs!$B$70*COS((-$B155)))-Inputs!$B$6)*(L155-Inputs!$B$6))/M155)&gt;M155-Inputs!$B$40),999,(ABS((K155-Inputs!$B$5)*((Inputs!$C$70*SIN((-$B155))-Inputs!$B$70*COS((-$B155)))-Inputs!$B$6)-(L155-Inputs!$B$6)*((Inputs!$C$70*COS((-$B155))+Inputs!$B$70*SIN((-$B155)))-Inputs!$B$5))/M155)-IF(((((Inputs!$C$70*COS((-$B155))+Inputs!$B$70*SIN((-$B155)))-Inputs!$B$5)*(K155-Inputs!$B$5)+((Inputs!$C$70*SIN((-$B155))-Inputs!$B$70*COS((-$B155)))-Inputs!$B$6)*(L155-Inputs!$B$6))/M155)&lt;$B$16,$B$7/2,$B$8/2)-Inputs!$B$39),IF(OR(Inputs!$C$71=0,((((Inputs!$C$71*COS((-$B155))+Inputs!$B$71*SIN((-$B155)))-Inputs!$B$5)*(K155-Inputs!$B$5)+((Inputs!$C$71*SIN((-$B155))-Inputs!$B$71*COS((-$B155)))-Inputs!$B$6)*(L155-Inputs!$B$6))/M155)&lt;0,((((Inputs!$C$71*COS((-$B155))+Inputs!$B$71*SIN((-$B155)))-Inputs!$B$5)*(K155-Inputs!$B$5)+((Inputs!$C$71*SIN((-$B155))-Inputs!$B$71*COS((-$B155)))-Inputs!$B$6)*(L155-Inputs!$B$6))/M155)&gt;M155-Inputs!$B$40),999,(ABS((K155-Inputs!$B$5)*((Inputs!$C$71*SIN((-$B155))-Inputs!$B$71*COS((-$B155)))-Inputs!$B$6)-(L155-Inputs!$B$6)*((Inputs!$C$71*COS((-$B155))+Inputs!$B$71*SIN((-$B155)))-Inputs!$B$5))/M155)-IF(((((Inputs!$C$71*COS((-$B155))+Inputs!$B$71*SIN((-$B155)))-Inputs!$B$5)*(K155-Inputs!$B$5)+((Inputs!$C$71*SIN((-$B155))-Inputs!$B$71*COS((-$B155)))-Inputs!$B$6)*(L155-Inputs!$B$6))/M155)&lt;$B$16,$B$7/2,$B$8/2)-Inputs!$B$39),IF(OR(Inputs!$C$72=0,((((Inputs!$C$72*COS((-$B155))+Inputs!$B$72*SIN((-$B155)))-Inputs!$B$5)*(K155-Inputs!$B$5)+((Inputs!$C$72*SIN((-$B155))-Inputs!$B$72*COS((-$B155)))-Inputs!$B$6)*(L155-Inputs!$B$6))/M155)&lt;0,((((Inputs!$C$72*COS((-$B155))+Inputs!$B$72*SIN((-$B155)))-Inputs!$B$5)*(K155-Inputs!$B$5)+((Inputs!$C$72*SIN((-$B155))-Inputs!$B$72*COS((-$B155)))-Inputs!$B$6)*(L155-Inputs!$B$6))/M155)&gt;M155-Inputs!$B$40),999,(ABS((K155-Inputs!$B$5)*((Inputs!$C$72*SIN((-$B155))-Inputs!$B$72*COS((-$B155)))-Inputs!$B$6)-(L155-Inputs!$B$6)*((Inputs!$C$72*COS((-$B155))+Inputs!$B$72*SIN((-$B155)))-Inputs!$B$5))/M155)-IF(((((Inputs!$C$72*COS((-$B155))+Inputs!$B$72*SIN((-$B155)))-Inputs!$B$5)*(K155-Inputs!$B$5)+((Inputs!$C$72*SIN((-$B155))-Inputs!$B$72*COS((-$B155)))-Inputs!$B$6)*(L155-Inputs!$B$6))/M155)&lt;$B$16,$B$7/2,$B$8/2)-Inputs!$B$39))</f>
        <v>15.17846483</v>
      </c>
      <c r="P155" s="76">
        <f>IF(AND(M155&gt;=$B$14,M155&lt;=$B$15,N155&lt;=Inputs!$B$38,O155&gt;=0,$D155=1),1,0)</f>
        <v>0</v>
      </c>
    </row>
    <row r="156" ht="15.75" customHeight="1">
      <c r="A156" s="23">
        <v>28.25</v>
      </c>
      <c r="B156" s="40">
        <f t="shared" si="4"/>
        <v>0.4930555137</v>
      </c>
      <c r="C156" s="29">
        <f>MAX(Inputs!$C$68*COS($B156)+Inputs!$B$68*ABS(SIN($B156)),Inputs!$C$69*COS($B156)+Inputs!$B$69*ABS(SIN($B156)),Inputs!$C$70*COS($B156)+Inputs!$B$70*ABS(SIN($B156)),Inputs!$C$71*COS($B156)+Inputs!$B$71*ABS(SIN($B156)),Inputs!$C$72*COS($B156)+Inputs!$B$72*ABS(SIN($B156)))</f>
        <v>258.2925066</v>
      </c>
      <c r="D156" s="108">
        <f>IF(C156&lt;=Inputs!$B$38,1,0)</f>
        <v>1</v>
      </c>
      <c r="E156" s="29">
        <f>Inputs!$B$11*COS(($B156))-Inputs!$B$7*SIN(($B156))</f>
        <v>179.1017151</v>
      </c>
      <c r="F156" s="29">
        <f>Inputs!$B$11*SIN(($B156))+Inputs!$B$7*COS(($B156))</f>
        <v>-130.8080909</v>
      </c>
      <c r="G156" s="29">
        <f>SQRT((E156-Inputs!$B$5)^2+(F156-Inputs!$B$6)^2)</f>
        <v>241.4517377</v>
      </c>
      <c r="H156" s="29">
        <f>MAX(MAX(Inputs!$B$5,(Inputs!$B$5+(E156-Inputs!$B$5)*MIN(1,$B$16/G156)))+$B$7/2,MAX((Inputs!$B$5+(E156-Inputs!$B$5)*MIN(1,$B$16/G156)),E156)+Inputs!$B$41)</f>
        <v>291.8</v>
      </c>
      <c r="I156" s="29">
        <f>MIN(IF(OR(Inputs!$C$68=0,((((Inputs!$C$68*COS(($B156))+Inputs!$B$68*SIN(($B156)))-Inputs!$B$5)*(E156-Inputs!$B$5)+((Inputs!$C$68*SIN(($B156))-Inputs!$B$68*COS(($B156)))-Inputs!$B$6)*(F156-Inputs!$B$6))/G156)&lt;0,((((Inputs!$C$68*COS(($B156))+Inputs!$B$68*SIN(($B156)))-Inputs!$B$5)*(E156-Inputs!$B$5)+((Inputs!$C$68*SIN(($B156))-Inputs!$B$68*COS(($B156)))-Inputs!$B$6)*(F156-Inputs!$B$6))/G156)&gt;G156-Inputs!$B$40),999,(ABS((E156-Inputs!$B$5)*((Inputs!$C$68*SIN(($B156))-Inputs!$B$68*COS(($B156)))-Inputs!$B$6)-(F156-Inputs!$B$6)*((Inputs!$C$68*COS(($B156))+Inputs!$B$68*SIN(($B156)))-Inputs!$B$5))/G156)-IF(((((Inputs!$C$68*COS(($B156))+Inputs!$B$68*SIN(($B156)))-Inputs!$B$5)*(E156-Inputs!$B$5)+((Inputs!$C$68*SIN(($B156))-Inputs!$B$68*COS(($B156)))-Inputs!$B$6)*(F156-Inputs!$B$6))/G156)&lt;$B$16,$B$7/2,$B$8/2)-Inputs!$B$39),IF(OR(Inputs!$C$69=0,((((Inputs!$C$69*COS(($B156))+Inputs!$B$69*SIN(($B156)))-Inputs!$B$5)*(E156-Inputs!$B$5)+((Inputs!$C$69*SIN(($B156))-Inputs!$B$69*COS(($B156)))-Inputs!$B$6)*(F156-Inputs!$B$6))/G156)&lt;0,((((Inputs!$C$69*COS(($B156))+Inputs!$B$69*SIN(($B156)))-Inputs!$B$5)*(E156-Inputs!$B$5)+((Inputs!$C$69*SIN(($B156))-Inputs!$B$69*COS(($B156)))-Inputs!$B$6)*(F156-Inputs!$B$6))/G156)&gt;G156-Inputs!$B$40),999,(ABS((E156-Inputs!$B$5)*((Inputs!$C$69*SIN(($B156))-Inputs!$B$69*COS(($B156)))-Inputs!$B$6)-(F156-Inputs!$B$6)*((Inputs!$C$69*COS(($B156))+Inputs!$B$69*SIN(($B156)))-Inputs!$B$5))/G156)-IF(((((Inputs!$C$69*COS(($B156))+Inputs!$B$69*SIN(($B156)))-Inputs!$B$5)*(E156-Inputs!$B$5)+((Inputs!$C$69*SIN(($B156))-Inputs!$B$69*COS(($B156)))-Inputs!$B$6)*(F156-Inputs!$B$6))/G156)&lt;$B$16,$B$7/2,$B$8/2)-Inputs!$B$39),IF(OR(Inputs!$C$70=0,((((Inputs!$C$70*COS(($B156))+Inputs!$B$70*SIN(($B156)))-Inputs!$B$5)*(E156-Inputs!$B$5)+((Inputs!$C$70*SIN(($B156))-Inputs!$B$70*COS(($B156)))-Inputs!$B$6)*(F156-Inputs!$B$6))/G156)&lt;0,((((Inputs!$C$70*COS(($B156))+Inputs!$B$70*SIN(($B156)))-Inputs!$B$5)*(E156-Inputs!$B$5)+((Inputs!$C$70*SIN(($B156))-Inputs!$B$70*COS(($B156)))-Inputs!$B$6)*(F156-Inputs!$B$6))/G156)&gt;G156-Inputs!$B$40),999,(ABS((E156-Inputs!$B$5)*((Inputs!$C$70*SIN(($B156))-Inputs!$B$70*COS(($B156)))-Inputs!$B$6)-(F156-Inputs!$B$6)*((Inputs!$C$70*COS(($B156))+Inputs!$B$70*SIN(($B156)))-Inputs!$B$5))/G156)-IF(((((Inputs!$C$70*COS(($B156))+Inputs!$B$70*SIN(($B156)))-Inputs!$B$5)*(E156-Inputs!$B$5)+((Inputs!$C$70*SIN(($B156))-Inputs!$B$70*COS(($B156)))-Inputs!$B$6)*(F156-Inputs!$B$6))/G156)&lt;$B$16,$B$7/2,$B$8/2)-Inputs!$B$39),IF(OR(Inputs!$C$71=0,((((Inputs!$C$71*COS(($B156))+Inputs!$B$71*SIN(($B156)))-Inputs!$B$5)*(E156-Inputs!$B$5)+((Inputs!$C$71*SIN(($B156))-Inputs!$B$71*COS(($B156)))-Inputs!$B$6)*(F156-Inputs!$B$6))/G156)&lt;0,((((Inputs!$C$71*COS(($B156))+Inputs!$B$71*SIN(($B156)))-Inputs!$B$5)*(E156-Inputs!$B$5)+((Inputs!$C$71*SIN(($B156))-Inputs!$B$71*COS(($B156)))-Inputs!$B$6)*(F156-Inputs!$B$6))/G156)&gt;G156-Inputs!$B$40),999,(ABS((E156-Inputs!$B$5)*((Inputs!$C$71*SIN(($B156))-Inputs!$B$71*COS(($B156)))-Inputs!$B$6)-(F156-Inputs!$B$6)*((Inputs!$C$71*COS(($B156))+Inputs!$B$71*SIN(($B156)))-Inputs!$B$5))/G156)-IF(((((Inputs!$C$71*COS(($B156))+Inputs!$B$71*SIN(($B156)))-Inputs!$B$5)*(E156-Inputs!$B$5)+((Inputs!$C$71*SIN(($B156))-Inputs!$B$71*COS(($B156)))-Inputs!$B$6)*(F156-Inputs!$B$6))/G156)&lt;$B$16,$B$7/2,$B$8/2)-Inputs!$B$39),IF(OR(Inputs!$C$72=0,((((Inputs!$C$72*COS(($B156))+Inputs!$B$72*SIN(($B156)))-Inputs!$B$5)*(E156-Inputs!$B$5)+((Inputs!$C$72*SIN(($B156))-Inputs!$B$72*COS(($B156)))-Inputs!$B$6)*(F156-Inputs!$B$6))/G156)&lt;0,((((Inputs!$C$72*COS(($B156))+Inputs!$B$72*SIN(($B156)))-Inputs!$B$5)*(E156-Inputs!$B$5)+((Inputs!$C$72*SIN(($B156))-Inputs!$B$72*COS(($B156)))-Inputs!$B$6)*(F156-Inputs!$B$6))/G156)&gt;G156-Inputs!$B$40),999,(ABS((E156-Inputs!$B$5)*((Inputs!$C$72*SIN(($B156))-Inputs!$B$72*COS(($B156)))-Inputs!$B$6)-(F156-Inputs!$B$6)*((Inputs!$C$72*COS(($B156))+Inputs!$B$72*SIN(($B156)))-Inputs!$B$5))/G156)-IF(((((Inputs!$C$72*COS(($B156))+Inputs!$B$72*SIN(($B156)))-Inputs!$B$5)*(E156-Inputs!$B$5)+((Inputs!$C$72*SIN(($B156))-Inputs!$B$72*COS(($B156)))-Inputs!$B$6)*(F156-Inputs!$B$6))/G156)&lt;$B$16,$B$7/2,$B$8/2)-Inputs!$B$39))</f>
        <v>51.66233021</v>
      </c>
      <c r="J156" s="76">
        <f>IF(AND(G156&gt;=$B$14,G156&lt;=$B$15,H156&lt;=Inputs!$B$38,I156&gt;=0,$D156=1),1,0)</f>
        <v>0</v>
      </c>
      <c r="K156" s="29">
        <f>Inputs!$B$11*COS((-$B156))-Inputs!$B$7*SIN((-$B156))</f>
        <v>-10.22615173</v>
      </c>
      <c r="L156" s="29">
        <f>Inputs!$B$11*SIN((-$B156))+Inputs!$B$7*COS((-$B156))</f>
        <v>-221.5482043</v>
      </c>
      <c r="M156" s="29">
        <f>SQRT((K156-Inputs!$B$5)^2+(L156-Inputs!$B$6)^2)</f>
        <v>413.6555303</v>
      </c>
      <c r="N156" s="29">
        <f>MAX(MAX(Inputs!$B$5,(Inputs!$B$5+(K156-Inputs!$B$5)*MIN(1,$B$16/M156)))+$B$7/2,MAX((Inputs!$B$5+(K156-Inputs!$B$5)*MIN(1,$B$16/M156)),K156)+Inputs!$B$41)</f>
        <v>291.8</v>
      </c>
      <c r="O156" s="29">
        <f>MIN(IF(OR(Inputs!$C$68=0,((((Inputs!$C$68*COS((-$B156))+Inputs!$B$68*SIN((-$B156)))-Inputs!$B$5)*(K156-Inputs!$B$5)+((Inputs!$C$68*SIN((-$B156))-Inputs!$B$68*COS((-$B156)))-Inputs!$B$6)*(L156-Inputs!$B$6))/M156)&lt;0,((((Inputs!$C$68*COS((-$B156))+Inputs!$B$68*SIN((-$B156)))-Inputs!$B$5)*(K156-Inputs!$B$5)+((Inputs!$C$68*SIN((-$B156))-Inputs!$B$68*COS((-$B156)))-Inputs!$B$6)*(L156-Inputs!$B$6))/M156)&gt;M156-Inputs!$B$40),999,(ABS((K156-Inputs!$B$5)*((Inputs!$C$68*SIN((-$B156))-Inputs!$B$68*COS((-$B156)))-Inputs!$B$6)-(L156-Inputs!$B$6)*((Inputs!$C$68*COS((-$B156))+Inputs!$B$68*SIN((-$B156)))-Inputs!$B$5))/M156)-IF(((((Inputs!$C$68*COS((-$B156))+Inputs!$B$68*SIN((-$B156)))-Inputs!$B$5)*(K156-Inputs!$B$5)+((Inputs!$C$68*SIN((-$B156))-Inputs!$B$68*COS((-$B156)))-Inputs!$B$6)*(L156-Inputs!$B$6))/M156)&lt;$B$16,$B$7/2,$B$8/2)-Inputs!$B$39),IF(OR(Inputs!$C$69=0,((((Inputs!$C$69*COS((-$B156))+Inputs!$B$69*SIN((-$B156)))-Inputs!$B$5)*(K156-Inputs!$B$5)+((Inputs!$C$69*SIN((-$B156))-Inputs!$B$69*COS((-$B156)))-Inputs!$B$6)*(L156-Inputs!$B$6))/M156)&lt;0,((((Inputs!$C$69*COS((-$B156))+Inputs!$B$69*SIN((-$B156)))-Inputs!$B$5)*(K156-Inputs!$B$5)+((Inputs!$C$69*SIN((-$B156))-Inputs!$B$69*COS((-$B156)))-Inputs!$B$6)*(L156-Inputs!$B$6))/M156)&gt;M156-Inputs!$B$40),999,(ABS((K156-Inputs!$B$5)*((Inputs!$C$69*SIN((-$B156))-Inputs!$B$69*COS((-$B156)))-Inputs!$B$6)-(L156-Inputs!$B$6)*((Inputs!$C$69*COS((-$B156))+Inputs!$B$69*SIN((-$B156)))-Inputs!$B$5))/M156)-IF(((((Inputs!$C$69*COS((-$B156))+Inputs!$B$69*SIN((-$B156)))-Inputs!$B$5)*(K156-Inputs!$B$5)+((Inputs!$C$69*SIN((-$B156))-Inputs!$B$69*COS((-$B156)))-Inputs!$B$6)*(L156-Inputs!$B$6))/M156)&lt;$B$16,$B$7/2,$B$8/2)-Inputs!$B$39),IF(OR(Inputs!$C$70=0,((((Inputs!$C$70*COS((-$B156))+Inputs!$B$70*SIN((-$B156)))-Inputs!$B$5)*(K156-Inputs!$B$5)+((Inputs!$C$70*SIN((-$B156))-Inputs!$B$70*COS((-$B156)))-Inputs!$B$6)*(L156-Inputs!$B$6))/M156)&lt;0,((((Inputs!$C$70*COS((-$B156))+Inputs!$B$70*SIN((-$B156)))-Inputs!$B$5)*(K156-Inputs!$B$5)+((Inputs!$C$70*SIN((-$B156))-Inputs!$B$70*COS((-$B156)))-Inputs!$B$6)*(L156-Inputs!$B$6))/M156)&gt;M156-Inputs!$B$40),999,(ABS((K156-Inputs!$B$5)*((Inputs!$C$70*SIN((-$B156))-Inputs!$B$70*COS((-$B156)))-Inputs!$B$6)-(L156-Inputs!$B$6)*((Inputs!$C$70*COS((-$B156))+Inputs!$B$70*SIN((-$B156)))-Inputs!$B$5))/M156)-IF(((((Inputs!$C$70*COS((-$B156))+Inputs!$B$70*SIN((-$B156)))-Inputs!$B$5)*(K156-Inputs!$B$5)+((Inputs!$C$70*SIN((-$B156))-Inputs!$B$70*COS((-$B156)))-Inputs!$B$6)*(L156-Inputs!$B$6))/M156)&lt;$B$16,$B$7/2,$B$8/2)-Inputs!$B$39),IF(OR(Inputs!$C$71=0,((((Inputs!$C$71*COS((-$B156))+Inputs!$B$71*SIN((-$B156)))-Inputs!$B$5)*(K156-Inputs!$B$5)+((Inputs!$C$71*SIN((-$B156))-Inputs!$B$71*COS((-$B156)))-Inputs!$B$6)*(L156-Inputs!$B$6))/M156)&lt;0,((((Inputs!$C$71*COS((-$B156))+Inputs!$B$71*SIN((-$B156)))-Inputs!$B$5)*(K156-Inputs!$B$5)+((Inputs!$C$71*SIN((-$B156))-Inputs!$B$71*COS((-$B156)))-Inputs!$B$6)*(L156-Inputs!$B$6))/M156)&gt;M156-Inputs!$B$40),999,(ABS((K156-Inputs!$B$5)*((Inputs!$C$71*SIN((-$B156))-Inputs!$B$71*COS((-$B156)))-Inputs!$B$6)-(L156-Inputs!$B$6)*((Inputs!$C$71*COS((-$B156))+Inputs!$B$71*SIN((-$B156)))-Inputs!$B$5))/M156)-IF(((((Inputs!$C$71*COS((-$B156))+Inputs!$B$71*SIN((-$B156)))-Inputs!$B$5)*(K156-Inputs!$B$5)+((Inputs!$C$71*SIN((-$B156))-Inputs!$B$71*COS((-$B156)))-Inputs!$B$6)*(L156-Inputs!$B$6))/M156)&lt;$B$16,$B$7/2,$B$8/2)-Inputs!$B$39),IF(OR(Inputs!$C$72=0,((((Inputs!$C$72*COS((-$B156))+Inputs!$B$72*SIN((-$B156)))-Inputs!$B$5)*(K156-Inputs!$B$5)+((Inputs!$C$72*SIN((-$B156))-Inputs!$B$72*COS((-$B156)))-Inputs!$B$6)*(L156-Inputs!$B$6))/M156)&lt;0,((((Inputs!$C$72*COS((-$B156))+Inputs!$B$72*SIN((-$B156)))-Inputs!$B$5)*(K156-Inputs!$B$5)+((Inputs!$C$72*SIN((-$B156))-Inputs!$B$72*COS((-$B156)))-Inputs!$B$6)*(L156-Inputs!$B$6))/M156)&gt;M156-Inputs!$B$40),999,(ABS((K156-Inputs!$B$5)*((Inputs!$C$72*SIN((-$B156))-Inputs!$B$72*COS((-$B156)))-Inputs!$B$6)-(L156-Inputs!$B$6)*((Inputs!$C$72*COS((-$B156))+Inputs!$B$72*SIN((-$B156)))-Inputs!$B$5))/M156)-IF(((((Inputs!$C$72*COS((-$B156))+Inputs!$B$72*SIN((-$B156)))-Inputs!$B$5)*(K156-Inputs!$B$5)+((Inputs!$C$72*SIN((-$B156))-Inputs!$B$72*COS((-$B156)))-Inputs!$B$6)*(L156-Inputs!$B$6))/M156)&lt;$B$16,$B$7/2,$B$8/2)-Inputs!$B$39))</f>
        <v>14.84074785</v>
      </c>
      <c r="P156" s="76">
        <f>IF(AND(M156&gt;=$B$14,M156&lt;=$B$15,N156&lt;=Inputs!$B$38,O156&gt;=0,$D156=1),1,0)</f>
        <v>0</v>
      </c>
    </row>
    <row r="157" ht="15.75" customHeight="1">
      <c r="A157" s="23">
        <v>28.5</v>
      </c>
      <c r="B157" s="40">
        <f t="shared" si="4"/>
        <v>0.4974188368</v>
      </c>
      <c r="C157" s="29">
        <f>MAX(Inputs!$C$68*COS($B157)+Inputs!$B$68*ABS(SIN($B157)),Inputs!$C$69*COS($B157)+Inputs!$B$69*ABS(SIN($B157)),Inputs!$C$70*COS($B157)+Inputs!$B$70*ABS(SIN($B157)),Inputs!$C$71*COS($B157)+Inputs!$B$71*ABS(SIN($B157)),Inputs!$C$72*COS($B157)+Inputs!$B$72*ABS(SIN($B157)))</f>
        <v>259.6592521</v>
      </c>
      <c r="D157" s="108">
        <f>IF(C157&lt;=Inputs!$B$38,1,0)</f>
        <v>1</v>
      </c>
      <c r="E157" s="29">
        <f>Inputs!$B$11*COS(($B157))-Inputs!$B$7*SIN(($B157))</f>
        <v>179.6707664</v>
      </c>
      <c r="F157" s="29">
        <f>Inputs!$B$11*SIN(($B157))+Inputs!$B$7*COS(($B157))</f>
        <v>-130.0253696</v>
      </c>
      <c r="G157" s="29">
        <f>SQRT((E157-Inputs!$B$5)^2+(F157-Inputs!$B$6)^2)</f>
        <v>240.5366329</v>
      </c>
      <c r="H157" s="29">
        <f>MAX(MAX(Inputs!$B$5,(Inputs!$B$5+(E157-Inputs!$B$5)*MIN(1,$B$16/G157)))+$B$7/2,MAX((Inputs!$B$5+(E157-Inputs!$B$5)*MIN(1,$B$16/G157)),E157)+Inputs!$B$41)</f>
        <v>291.8</v>
      </c>
      <c r="I157" s="29">
        <f>MIN(IF(OR(Inputs!$C$68=0,((((Inputs!$C$68*COS(($B157))+Inputs!$B$68*SIN(($B157)))-Inputs!$B$5)*(E157-Inputs!$B$5)+((Inputs!$C$68*SIN(($B157))-Inputs!$B$68*COS(($B157)))-Inputs!$B$6)*(F157-Inputs!$B$6))/G157)&lt;0,((((Inputs!$C$68*COS(($B157))+Inputs!$B$68*SIN(($B157)))-Inputs!$B$5)*(E157-Inputs!$B$5)+((Inputs!$C$68*SIN(($B157))-Inputs!$B$68*COS(($B157)))-Inputs!$B$6)*(F157-Inputs!$B$6))/G157)&gt;G157-Inputs!$B$40),999,(ABS((E157-Inputs!$B$5)*((Inputs!$C$68*SIN(($B157))-Inputs!$B$68*COS(($B157)))-Inputs!$B$6)-(F157-Inputs!$B$6)*((Inputs!$C$68*COS(($B157))+Inputs!$B$68*SIN(($B157)))-Inputs!$B$5))/G157)-IF(((((Inputs!$C$68*COS(($B157))+Inputs!$B$68*SIN(($B157)))-Inputs!$B$5)*(E157-Inputs!$B$5)+((Inputs!$C$68*SIN(($B157))-Inputs!$B$68*COS(($B157)))-Inputs!$B$6)*(F157-Inputs!$B$6))/G157)&lt;$B$16,$B$7/2,$B$8/2)-Inputs!$B$39),IF(OR(Inputs!$C$69=0,((((Inputs!$C$69*COS(($B157))+Inputs!$B$69*SIN(($B157)))-Inputs!$B$5)*(E157-Inputs!$B$5)+((Inputs!$C$69*SIN(($B157))-Inputs!$B$69*COS(($B157)))-Inputs!$B$6)*(F157-Inputs!$B$6))/G157)&lt;0,((((Inputs!$C$69*COS(($B157))+Inputs!$B$69*SIN(($B157)))-Inputs!$B$5)*(E157-Inputs!$B$5)+((Inputs!$C$69*SIN(($B157))-Inputs!$B$69*COS(($B157)))-Inputs!$B$6)*(F157-Inputs!$B$6))/G157)&gt;G157-Inputs!$B$40),999,(ABS((E157-Inputs!$B$5)*((Inputs!$C$69*SIN(($B157))-Inputs!$B$69*COS(($B157)))-Inputs!$B$6)-(F157-Inputs!$B$6)*((Inputs!$C$69*COS(($B157))+Inputs!$B$69*SIN(($B157)))-Inputs!$B$5))/G157)-IF(((((Inputs!$C$69*COS(($B157))+Inputs!$B$69*SIN(($B157)))-Inputs!$B$5)*(E157-Inputs!$B$5)+((Inputs!$C$69*SIN(($B157))-Inputs!$B$69*COS(($B157)))-Inputs!$B$6)*(F157-Inputs!$B$6))/G157)&lt;$B$16,$B$7/2,$B$8/2)-Inputs!$B$39),IF(OR(Inputs!$C$70=0,((((Inputs!$C$70*COS(($B157))+Inputs!$B$70*SIN(($B157)))-Inputs!$B$5)*(E157-Inputs!$B$5)+((Inputs!$C$70*SIN(($B157))-Inputs!$B$70*COS(($B157)))-Inputs!$B$6)*(F157-Inputs!$B$6))/G157)&lt;0,((((Inputs!$C$70*COS(($B157))+Inputs!$B$70*SIN(($B157)))-Inputs!$B$5)*(E157-Inputs!$B$5)+((Inputs!$C$70*SIN(($B157))-Inputs!$B$70*COS(($B157)))-Inputs!$B$6)*(F157-Inputs!$B$6))/G157)&gt;G157-Inputs!$B$40),999,(ABS((E157-Inputs!$B$5)*((Inputs!$C$70*SIN(($B157))-Inputs!$B$70*COS(($B157)))-Inputs!$B$6)-(F157-Inputs!$B$6)*((Inputs!$C$70*COS(($B157))+Inputs!$B$70*SIN(($B157)))-Inputs!$B$5))/G157)-IF(((((Inputs!$C$70*COS(($B157))+Inputs!$B$70*SIN(($B157)))-Inputs!$B$5)*(E157-Inputs!$B$5)+((Inputs!$C$70*SIN(($B157))-Inputs!$B$70*COS(($B157)))-Inputs!$B$6)*(F157-Inputs!$B$6))/G157)&lt;$B$16,$B$7/2,$B$8/2)-Inputs!$B$39),IF(OR(Inputs!$C$71=0,((((Inputs!$C$71*COS(($B157))+Inputs!$B$71*SIN(($B157)))-Inputs!$B$5)*(E157-Inputs!$B$5)+((Inputs!$C$71*SIN(($B157))-Inputs!$B$71*COS(($B157)))-Inputs!$B$6)*(F157-Inputs!$B$6))/G157)&lt;0,((((Inputs!$C$71*COS(($B157))+Inputs!$B$71*SIN(($B157)))-Inputs!$B$5)*(E157-Inputs!$B$5)+((Inputs!$C$71*SIN(($B157))-Inputs!$B$71*COS(($B157)))-Inputs!$B$6)*(F157-Inputs!$B$6))/G157)&gt;G157-Inputs!$B$40),999,(ABS((E157-Inputs!$B$5)*((Inputs!$C$71*SIN(($B157))-Inputs!$B$71*COS(($B157)))-Inputs!$B$6)-(F157-Inputs!$B$6)*((Inputs!$C$71*COS(($B157))+Inputs!$B$71*SIN(($B157)))-Inputs!$B$5))/G157)-IF(((((Inputs!$C$71*COS(($B157))+Inputs!$B$71*SIN(($B157)))-Inputs!$B$5)*(E157-Inputs!$B$5)+((Inputs!$C$71*SIN(($B157))-Inputs!$B$71*COS(($B157)))-Inputs!$B$6)*(F157-Inputs!$B$6))/G157)&lt;$B$16,$B$7/2,$B$8/2)-Inputs!$B$39),IF(OR(Inputs!$C$72=0,((((Inputs!$C$72*COS(($B157))+Inputs!$B$72*SIN(($B157)))-Inputs!$B$5)*(E157-Inputs!$B$5)+((Inputs!$C$72*SIN(($B157))-Inputs!$B$72*COS(($B157)))-Inputs!$B$6)*(F157-Inputs!$B$6))/G157)&lt;0,((((Inputs!$C$72*COS(($B157))+Inputs!$B$72*SIN(($B157)))-Inputs!$B$5)*(E157-Inputs!$B$5)+((Inputs!$C$72*SIN(($B157))-Inputs!$B$72*COS(($B157)))-Inputs!$B$6)*(F157-Inputs!$B$6))/G157)&gt;G157-Inputs!$B$40),999,(ABS((E157-Inputs!$B$5)*((Inputs!$C$72*SIN(($B157))-Inputs!$B$72*COS(($B157)))-Inputs!$B$6)-(F157-Inputs!$B$6)*((Inputs!$C$72*COS(($B157))+Inputs!$B$72*SIN(($B157)))-Inputs!$B$5))/G157)-IF(((((Inputs!$C$72*COS(($B157))+Inputs!$B$72*SIN(($B157)))-Inputs!$B$5)*(E157-Inputs!$B$5)+((Inputs!$C$72*SIN(($B157))-Inputs!$B$72*COS(($B157)))-Inputs!$B$6)*(F157-Inputs!$B$6))/G157)&lt;$B$16,$B$7/2,$B$8/2)-Inputs!$B$39))</f>
        <v>51.82018451</v>
      </c>
      <c r="J157" s="76">
        <f>IF(AND(G157&gt;=$B$14,G157&lt;=$B$15,H157&lt;=Inputs!$B$38,I157&gt;=0,$D157=1),1,0)</f>
        <v>0</v>
      </c>
      <c r="K157" s="29">
        <f>Inputs!$B$11*COS((-$B157))-Inputs!$B$7*SIN((-$B157))</f>
        <v>-11.19273772</v>
      </c>
      <c r="L157" s="29">
        <f>Inputs!$B$11*SIN((-$B157))+Inputs!$B$7*COS((-$B157))</f>
        <v>-221.5014755</v>
      </c>
      <c r="M157" s="29">
        <f>SQRT((K157-Inputs!$B$5)^2+(L157-Inputs!$B$6)^2)</f>
        <v>414.2280109</v>
      </c>
      <c r="N157" s="29">
        <f>MAX(MAX(Inputs!$B$5,(Inputs!$B$5+(K157-Inputs!$B$5)*MIN(1,$B$16/M157)))+$B$7/2,MAX((Inputs!$B$5+(K157-Inputs!$B$5)*MIN(1,$B$16/M157)),K157)+Inputs!$B$41)</f>
        <v>291.8</v>
      </c>
      <c r="O157" s="29">
        <f>MIN(IF(OR(Inputs!$C$68=0,((((Inputs!$C$68*COS((-$B157))+Inputs!$B$68*SIN((-$B157)))-Inputs!$B$5)*(K157-Inputs!$B$5)+((Inputs!$C$68*SIN((-$B157))-Inputs!$B$68*COS((-$B157)))-Inputs!$B$6)*(L157-Inputs!$B$6))/M157)&lt;0,((((Inputs!$C$68*COS((-$B157))+Inputs!$B$68*SIN((-$B157)))-Inputs!$B$5)*(K157-Inputs!$B$5)+((Inputs!$C$68*SIN((-$B157))-Inputs!$B$68*COS((-$B157)))-Inputs!$B$6)*(L157-Inputs!$B$6))/M157)&gt;M157-Inputs!$B$40),999,(ABS((K157-Inputs!$B$5)*((Inputs!$C$68*SIN((-$B157))-Inputs!$B$68*COS((-$B157)))-Inputs!$B$6)-(L157-Inputs!$B$6)*((Inputs!$C$68*COS((-$B157))+Inputs!$B$68*SIN((-$B157)))-Inputs!$B$5))/M157)-IF(((((Inputs!$C$68*COS((-$B157))+Inputs!$B$68*SIN((-$B157)))-Inputs!$B$5)*(K157-Inputs!$B$5)+((Inputs!$C$68*SIN((-$B157))-Inputs!$B$68*COS((-$B157)))-Inputs!$B$6)*(L157-Inputs!$B$6))/M157)&lt;$B$16,$B$7/2,$B$8/2)-Inputs!$B$39),IF(OR(Inputs!$C$69=0,((((Inputs!$C$69*COS((-$B157))+Inputs!$B$69*SIN((-$B157)))-Inputs!$B$5)*(K157-Inputs!$B$5)+((Inputs!$C$69*SIN((-$B157))-Inputs!$B$69*COS((-$B157)))-Inputs!$B$6)*(L157-Inputs!$B$6))/M157)&lt;0,((((Inputs!$C$69*COS((-$B157))+Inputs!$B$69*SIN((-$B157)))-Inputs!$B$5)*(K157-Inputs!$B$5)+((Inputs!$C$69*SIN((-$B157))-Inputs!$B$69*COS((-$B157)))-Inputs!$B$6)*(L157-Inputs!$B$6))/M157)&gt;M157-Inputs!$B$40),999,(ABS((K157-Inputs!$B$5)*((Inputs!$C$69*SIN((-$B157))-Inputs!$B$69*COS((-$B157)))-Inputs!$B$6)-(L157-Inputs!$B$6)*((Inputs!$C$69*COS((-$B157))+Inputs!$B$69*SIN((-$B157)))-Inputs!$B$5))/M157)-IF(((((Inputs!$C$69*COS((-$B157))+Inputs!$B$69*SIN((-$B157)))-Inputs!$B$5)*(K157-Inputs!$B$5)+((Inputs!$C$69*SIN((-$B157))-Inputs!$B$69*COS((-$B157)))-Inputs!$B$6)*(L157-Inputs!$B$6))/M157)&lt;$B$16,$B$7/2,$B$8/2)-Inputs!$B$39),IF(OR(Inputs!$C$70=0,((((Inputs!$C$70*COS((-$B157))+Inputs!$B$70*SIN((-$B157)))-Inputs!$B$5)*(K157-Inputs!$B$5)+((Inputs!$C$70*SIN((-$B157))-Inputs!$B$70*COS((-$B157)))-Inputs!$B$6)*(L157-Inputs!$B$6))/M157)&lt;0,((((Inputs!$C$70*COS((-$B157))+Inputs!$B$70*SIN((-$B157)))-Inputs!$B$5)*(K157-Inputs!$B$5)+((Inputs!$C$70*SIN((-$B157))-Inputs!$B$70*COS((-$B157)))-Inputs!$B$6)*(L157-Inputs!$B$6))/M157)&gt;M157-Inputs!$B$40),999,(ABS((K157-Inputs!$B$5)*((Inputs!$C$70*SIN((-$B157))-Inputs!$B$70*COS((-$B157)))-Inputs!$B$6)-(L157-Inputs!$B$6)*((Inputs!$C$70*COS((-$B157))+Inputs!$B$70*SIN((-$B157)))-Inputs!$B$5))/M157)-IF(((((Inputs!$C$70*COS((-$B157))+Inputs!$B$70*SIN((-$B157)))-Inputs!$B$5)*(K157-Inputs!$B$5)+((Inputs!$C$70*SIN((-$B157))-Inputs!$B$70*COS((-$B157)))-Inputs!$B$6)*(L157-Inputs!$B$6))/M157)&lt;$B$16,$B$7/2,$B$8/2)-Inputs!$B$39),IF(OR(Inputs!$C$71=0,((((Inputs!$C$71*COS((-$B157))+Inputs!$B$71*SIN((-$B157)))-Inputs!$B$5)*(K157-Inputs!$B$5)+((Inputs!$C$71*SIN((-$B157))-Inputs!$B$71*COS((-$B157)))-Inputs!$B$6)*(L157-Inputs!$B$6))/M157)&lt;0,((((Inputs!$C$71*COS((-$B157))+Inputs!$B$71*SIN((-$B157)))-Inputs!$B$5)*(K157-Inputs!$B$5)+((Inputs!$C$71*SIN((-$B157))-Inputs!$B$71*COS((-$B157)))-Inputs!$B$6)*(L157-Inputs!$B$6))/M157)&gt;M157-Inputs!$B$40),999,(ABS((K157-Inputs!$B$5)*((Inputs!$C$71*SIN((-$B157))-Inputs!$B$71*COS((-$B157)))-Inputs!$B$6)-(L157-Inputs!$B$6)*((Inputs!$C$71*COS((-$B157))+Inputs!$B$71*SIN((-$B157)))-Inputs!$B$5))/M157)-IF(((((Inputs!$C$71*COS((-$B157))+Inputs!$B$71*SIN((-$B157)))-Inputs!$B$5)*(K157-Inputs!$B$5)+((Inputs!$C$71*SIN((-$B157))-Inputs!$B$71*COS((-$B157)))-Inputs!$B$6)*(L157-Inputs!$B$6))/M157)&lt;$B$16,$B$7/2,$B$8/2)-Inputs!$B$39),IF(OR(Inputs!$C$72=0,((((Inputs!$C$72*COS((-$B157))+Inputs!$B$72*SIN((-$B157)))-Inputs!$B$5)*(K157-Inputs!$B$5)+((Inputs!$C$72*SIN((-$B157))-Inputs!$B$72*COS((-$B157)))-Inputs!$B$6)*(L157-Inputs!$B$6))/M157)&lt;0,((((Inputs!$C$72*COS((-$B157))+Inputs!$B$72*SIN((-$B157)))-Inputs!$B$5)*(K157-Inputs!$B$5)+((Inputs!$C$72*SIN((-$B157))-Inputs!$B$72*COS((-$B157)))-Inputs!$B$6)*(L157-Inputs!$B$6))/M157)&gt;M157-Inputs!$B$40),999,(ABS((K157-Inputs!$B$5)*((Inputs!$C$72*SIN((-$B157))-Inputs!$B$72*COS((-$B157)))-Inputs!$B$6)-(L157-Inputs!$B$6)*((Inputs!$C$72*COS((-$B157))+Inputs!$B$72*SIN((-$B157)))-Inputs!$B$5))/M157)-IF(((((Inputs!$C$72*COS((-$B157))+Inputs!$B$72*SIN((-$B157)))-Inputs!$B$5)*(K157-Inputs!$B$5)+((Inputs!$C$72*SIN((-$B157))-Inputs!$B$72*COS((-$B157)))-Inputs!$B$6)*(L157-Inputs!$B$6))/M157)&lt;$B$16,$B$7/2,$B$8/2)-Inputs!$B$39))</f>
        <v>14.50294095</v>
      </c>
      <c r="P157" s="76">
        <f>IF(AND(M157&gt;=$B$14,M157&lt;=$B$15,N157&lt;=Inputs!$B$38,O157&gt;=0,$D157=1),1,0)</f>
        <v>0</v>
      </c>
    </row>
    <row r="158" ht="15.75" customHeight="1">
      <c r="A158" s="23">
        <v>28.75</v>
      </c>
      <c r="B158" s="40">
        <f t="shared" si="4"/>
        <v>0.5017821599</v>
      </c>
      <c r="C158" s="29">
        <f>MAX(Inputs!$C$68*COS($B158)+Inputs!$B$68*ABS(SIN($B158)),Inputs!$C$69*COS($B158)+Inputs!$B$69*ABS(SIN($B158)),Inputs!$C$70*COS($B158)+Inputs!$B$70*ABS(SIN($B158)),Inputs!$C$71*COS($B158)+Inputs!$B$71*ABS(SIN($B158)),Inputs!$C$72*COS($B158)+Inputs!$B$72*ABS(SIN($B158)))</f>
        <v>261.0210541</v>
      </c>
      <c r="D158" s="108">
        <f>IF(C158&lt;=Inputs!$B$38,1,0)</f>
        <v>1</v>
      </c>
      <c r="E158" s="29">
        <f>Inputs!$B$11*COS(($B158))-Inputs!$B$7*SIN(($B158))</f>
        <v>180.236397</v>
      </c>
      <c r="F158" s="29">
        <f>Inputs!$B$11*SIN(($B158))+Inputs!$B$7*COS(($B158))</f>
        <v>-129.2401727</v>
      </c>
      <c r="G158" s="29">
        <f>SQRT((E158-Inputs!$B$5)^2+(F158-Inputs!$B$6)^2)</f>
        <v>239.620569</v>
      </c>
      <c r="H158" s="29">
        <f>MAX(MAX(Inputs!$B$5,(Inputs!$B$5+(E158-Inputs!$B$5)*MIN(1,$B$16/G158)))+$B$7/2,MAX((Inputs!$B$5+(E158-Inputs!$B$5)*MIN(1,$B$16/G158)),E158)+Inputs!$B$41)</f>
        <v>291.8</v>
      </c>
      <c r="I158" s="29">
        <f>MIN(IF(OR(Inputs!$C$68=0,((((Inputs!$C$68*COS(($B158))+Inputs!$B$68*SIN(($B158)))-Inputs!$B$5)*(E158-Inputs!$B$5)+((Inputs!$C$68*SIN(($B158))-Inputs!$B$68*COS(($B158)))-Inputs!$B$6)*(F158-Inputs!$B$6))/G158)&lt;0,((((Inputs!$C$68*COS(($B158))+Inputs!$B$68*SIN(($B158)))-Inputs!$B$5)*(E158-Inputs!$B$5)+((Inputs!$C$68*SIN(($B158))-Inputs!$B$68*COS(($B158)))-Inputs!$B$6)*(F158-Inputs!$B$6))/G158)&gt;G158-Inputs!$B$40),999,(ABS((E158-Inputs!$B$5)*((Inputs!$C$68*SIN(($B158))-Inputs!$B$68*COS(($B158)))-Inputs!$B$6)-(F158-Inputs!$B$6)*((Inputs!$C$68*COS(($B158))+Inputs!$B$68*SIN(($B158)))-Inputs!$B$5))/G158)-IF(((((Inputs!$C$68*COS(($B158))+Inputs!$B$68*SIN(($B158)))-Inputs!$B$5)*(E158-Inputs!$B$5)+((Inputs!$C$68*SIN(($B158))-Inputs!$B$68*COS(($B158)))-Inputs!$B$6)*(F158-Inputs!$B$6))/G158)&lt;$B$16,$B$7/2,$B$8/2)-Inputs!$B$39),IF(OR(Inputs!$C$69=0,((((Inputs!$C$69*COS(($B158))+Inputs!$B$69*SIN(($B158)))-Inputs!$B$5)*(E158-Inputs!$B$5)+((Inputs!$C$69*SIN(($B158))-Inputs!$B$69*COS(($B158)))-Inputs!$B$6)*(F158-Inputs!$B$6))/G158)&lt;0,((((Inputs!$C$69*COS(($B158))+Inputs!$B$69*SIN(($B158)))-Inputs!$B$5)*(E158-Inputs!$B$5)+((Inputs!$C$69*SIN(($B158))-Inputs!$B$69*COS(($B158)))-Inputs!$B$6)*(F158-Inputs!$B$6))/G158)&gt;G158-Inputs!$B$40),999,(ABS((E158-Inputs!$B$5)*((Inputs!$C$69*SIN(($B158))-Inputs!$B$69*COS(($B158)))-Inputs!$B$6)-(F158-Inputs!$B$6)*((Inputs!$C$69*COS(($B158))+Inputs!$B$69*SIN(($B158)))-Inputs!$B$5))/G158)-IF(((((Inputs!$C$69*COS(($B158))+Inputs!$B$69*SIN(($B158)))-Inputs!$B$5)*(E158-Inputs!$B$5)+((Inputs!$C$69*SIN(($B158))-Inputs!$B$69*COS(($B158)))-Inputs!$B$6)*(F158-Inputs!$B$6))/G158)&lt;$B$16,$B$7/2,$B$8/2)-Inputs!$B$39),IF(OR(Inputs!$C$70=0,((((Inputs!$C$70*COS(($B158))+Inputs!$B$70*SIN(($B158)))-Inputs!$B$5)*(E158-Inputs!$B$5)+((Inputs!$C$70*SIN(($B158))-Inputs!$B$70*COS(($B158)))-Inputs!$B$6)*(F158-Inputs!$B$6))/G158)&lt;0,((((Inputs!$C$70*COS(($B158))+Inputs!$B$70*SIN(($B158)))-Inputs!$B$5)*(E158-Inputs!$B$5)+((Inputs!$C$70*SIN(($B158))-Inputs!$B$70*COS(($B158)))-Inputs!$B$6)*(F158-Inputs!$B$6))/G158)&gt;G158-Inputs!$B$40),999,(ABS((E158-Inputs!$B$5)*((Inputs!$C$70*SIN(($B158))-Inputs!$B$70*COS(($B158)))-Inputs!$B$6)-(F158-Inputs!$B$6)*((Inputs!$C$70*COS(($B158))+Inputs!$B$70*SIN(($B158)))-Inputs!$B$5))/G158)-IF(((((Inputs!$C$70*COS(($B158))+Inputs!$B$70*SIN(($B158)))-Inputs!$B$5)*(E158-Inputs!$B$5)+((Inputs!$C$70*SIN(($B158))-Inputs!$B$70*COS(($B158)))-Inputs!$B$6)*(F158-Inputs!$B$6))/G158)&lt;$B$16,$B$7/2,$B$8/2)-Inputs!$B$39),IF(OR(Inputs!$C$71=0,((((Inputs!$C$71*COS(($B158))+Inputs!$B$71*SIN(($B158)))-Inputs!$B$5)*(E158-Inputs!$B$5)+((Inputs!$C$71*SIN(($B158))-Inputs!$B$71*COS(($B158)))-Inputs!$B$6)*(F158-Inputs!$B$6))/G158)&lt;0,((((Inputs!$C$71*COS(($B158))+Inputs!$B$71*SIN(($B158)))-Inputs!$B$5)*(E158-Inputs!$B$5)+((Inputs!$C$71*SIN(($B158))-Inputs!$B$71*COS(($B158)))-Inputs!$B$6)*(F158-Inputs!$B$6))/G158)&gt;G158-Inputs!$B$40),999,(ABS((E158-Inputs!$B$5)*((Inputs!$C$71*SIN(($B158))-Inputs!$B$71*COS(($B158)))-Inputs!$B$6)-(F158-Inputs!$B$6)*((Inputs!$C$71*COS(($B158))+Inputs!$B$71*SIN(($B158)))-Inputs!$B$5))/G158)-IF(((((Inputs!$C$71*COS(($B158))+Inputs!$B$71*SIN(($B158)))-Inputs!$B$5)*(E158-Inputs!$B$5)+((Inputs!$C$71*SIN(($B158))-Inputs!$B$71*COS(($B158)))-Inputs!$B$6)*(F158-Inputs!$B$6))/G158)&lt;$B$16,$B$7/2,$B$8/2)-Inputs!$B$39),IF(OR(Inputs!$C$72=0,((((Inputs!$C$72*COS(($B158))+Inputs!$B$72*SIN(($B158)))-Inputs!$B$5)*(E158-Inputs!$B$5)+((Inputs!$C$72*SIN(($B158))-Inputs!$B$72*COS(($B158)))-Inputs!$B$6)*(F158-Inputs!$B$6))/G158)&lt;0,((((Inputs!$C$72*COS(($B158))+Inputs!$B$72*SIN(($B158)))-Inputs!$B$5)*(E158-Inputs!$B$5)+((Inputs!$C$72*SIN(($B158))-Inputs!$B$72*COS(($B158)))-Inputs!$B$6)*(F158-Inputs!$B$6))/G158)&gt;G158-Inputs!$B$40),999,(ABS((E158-Inputs!$B$5)*((Inputs!$C$72*SIN(($B158))-Inputs!$B$72*COS(($B158)))-Inputs!$B$6)-(F158-Inputs!$B$6)*((Inputs!$C$72*COS(($B158))+Inputs!$B$72*SIN(($B158)))-Inputs!$B$5))/G158)-IF(((((Inputs!$C$72*COS(($B158))+Inputs!$B$72*SIN(($B158)))-Inputs!$B$5)*(E158-Inputs!$B$5)+((Inputs!$C$72*SIN(($B158))-Inputs!$B$72*COS(($B158)))-Inputs!$B$6)*(F158-Inputs!$B$6))/G158)&lt;$B$16,$B$7/2,$B$8/2)-Inputs!$B$39))</f>
        <v>51.97747821</v>
      </c>
      <c r="J158" s="76">
        <f>IF(AND(G158&gt;=$B$14,G158&lt;=$B$15,H158&lt;=Inputs!$B$38,I158&gt;=0,$D158=1),1,0)</f>
        <v>0</v>
      </c>
      <c r="K158" s="29">
        <f>Inputs!$B$11*COS((-$B158))-Inputs!$B$7*SIN((-$B158))</f>
        <v>-12.15911062</v>
      </c>
      <c r="L158" s="29">
        <f>Inputs!$B$11*SIN((-$B158))+Inputs!$B$7*COS((-$B158))</f>
        <v>-221.4505296</v>
      </c>
      <c r="M158" s="29">
        <f>SQRT((K158-Inputs!$B$5)^2+(L158-Inputs!$B$6)^2)</f>
        <v>414.7985562</v>
      </c>
      <c r="N158" s="29">
        <f>MAX(MAX(Inputs!$B$5,(Inputs!$B$5+(K158-Inputs!$B$5)*MIN(1,$B$16/M158)))+$B$7/2,MAX((Inputs!$B$5+(K158-Inputs!$B$5)*MIN(1,$B$16/M158)),K158)+Inputs!$B$41)</f>
        <v>291.8</v>
      </c>
      <c r="O158" s="29">
        <f>MIN(IF(OR(Inputs!$C$68=0,((((Inputs!$C$68*COS((-$B158))+Inputs!$B$68*SIN((-$B158)))-Inputs!$B$5)*(K158-Inputs!$B$5)+((Inputs!$C$68*SIN((-$B158))-Inputs!$B$68*COS((-$B158)))-Inputs!$B$6)*(L158-Inputs!$B$6))/M158)&lt;0,((((Inputs!$C$68*COS((-$B158))+Inputs!$B$68*SIN((-$B158)))-Inputs!$B$5)*(K158-Inputs!$B$5)+((Inputs!$C$68*SIN((-$B158))-Inputs!$B$68*COS((-$B158)))-Inputs!$B$6)*(L158-Inputs!$B$6))/M158)&gt;M158-Inputs!$B$40),999,(ABS((K158-Inputs!$B$5)*((Inputs!$C$68*SIN((-$B158))-Inputs!$B$68*COS((-$B158)))-Inputs!$B$6)-(L158-Inputs!$B$6)*((Inputs!$C$68*COS((-$B158))+Inputs!$B$68*SIN((-$B158)))-Inputs!$B$5))/M158)-IF(((((Inputs!$C$68*COS((-$B158))+Inputs!$B$68*SIN((-$B158)))-Inputs!$B$5)*(K158-Inputs!$B$5)+((Inputs!$C$68*SIN((-$B158))-Inputs!$B$68*COS((-$B158)))-Inputs!$B$6)*(L158-Inputs!$B$6))/M158)&lt;$B$16,$B$7/2,$B$8/2)-Inputs!$B$39),IF(OR(Inputs!$C$69=0,((((Inputs!$C$69*COS((-$B158))+Inputs!$B$69*SIN((-$B158)))-Inputs!$B$5)*(K158-Inputs!$B$5)+((Inputs!$C$69*SIN((-$B158))-Inputs!$B$69*COS((-$B158)))-Inputs!$B$6)*(L158-Inputs!$B$6))/M158)&lt;0,((((Inputs!$C$69*COS((-$B158))+Inputs!$B$69*SIN((-$B158)))-Inputs!$B$5)*(K158-Inputs!$B$5)+((Inputs!$C$69*SIN((-$B158))-Inputs!$B$69*COS((-$B158)))-Inputs!$B$6)*(L158-Inputs!$B$6))/M158)&gt;M158-Inputs!$B$40),999,(ABS((K158-Inputs!$B$5)*((Inputs!$C$69*SIN((-$B158))-Inputs!$B$69*COS((-$B158)))-Inputs!$B$6)-(L158-Inputs!$B$6)*((Inputs!$C$69*COS((-$B158))+Inputs!$B$69*SIN((-$B158)))-Inputs!$B$5))/M158)-IF(((((Inputs!$C$69*COS((-$B158))+Inputs!$B$69*SIN((-$B158)))-Inputs!$B$5)*(K158-Inputs!$B$5)+((Inputs!$C$69*SIN((-$B158))-Inputs!$B$69*COS((-$B158)))-Inputs!$B$6)*(L158-Inputs!$B$6))/M158)&lt;$B$16,$B$7/2,$B$8/2)-Inputs!$B$39),IF(OR(Inputs!$C$70=0,((((Inputs!$C$70*COS((-$B158))+Inputs!$B$70*SIN((-$B158)))-Inputs!$B$5)*(K158-Inputs!$B$5)+((Inputs!$C$70*SIN((-$B158))-Inputs!$B$70*COS((-$B158)))-Inputs!$B$6)*(L158-Inputs!$B$6))/M158)&lt;0,((((Inputs!$C$70*COS((-$B158))+Inputs!$B$70*SIN((-$B158)))-Inputs!$B$5)*(K158-Inputs!$B$5)+((Inputs!$C$70*SIN((-$B158))-Inputs!$B$70*COS((-$B158)))-Inputs!$B$6)*(L158-Inputs!$B$6))/M158)&gt;M158-Inputs!$B$40),999,(ABS((K158-Inputs!$B$5)*((Inputs!$C$70*SIN((-$B158))-Inputs!$B$70*COS((-$B158)))-Inputs!$B$6)-(L158-Inputs!$B$6)*((Inputs!$C$70*COS((-$B158))+Inputs!$B$70*SIN((-$B158)))-Inputs!$B$5))/M158)-IF(((((Inputs!$C$70*COS((-$B158))+Inputs!$B$70*SIN((-$B158)))-Inputs!$B$5)*(K158-Inputs!$B$5)+((Inputs!$C$70*SIN((-$B158))-Inputs!$B$70*COS((-$B158)))-Inputs!$B$6)*(L158-Inputs!$B$6))/M158)&lt;$B$16,$B$7/2,$B$8/2)-Inputs!$B$39),IF(OR(Inputs!$C$71=0,((((Inputs!$C$71*COS((-$B158))+Inputs!$B$71*SIN((-$B158)))-Inputs!$B$5)*(K158-Inputs!$B$5)+((Inputs!$C$71*SIN((-$B158))-Inputs!$B$71*COS((-$B158)))-Inputs!$B$6)*(L158-Inputs!$B$6))/M158)&lt;0,((((Inputs!$C$71*COS((-$B158))+Inputs!$B$71*SIN((-$B158)))-Inputs!$B$5)*(K158-Inputs!$B$5)+((Inputs!$C$71*SIN((-$B158))-Inputs!$B$71*COS((-$B158)))-Inputs!$B$6)*(L158-Inputs!$B$6))/M158)&gt;M158-Inputs!$B$40),999,(ABS((K158-Inputs!$B$5)*((Inputs!$C$71*SIN((-$B158))-Inputs!$B$71*COS((-$B158)))-Inputs!$B$6)-(L158-Inputs!$B$6)*((Inputs!$C$71*COS((-$B158))+Inputs!$B$71*SIN((-$B158)))-Inputs!$B$5))/M158)-IF(((((Inputs!$C$71*COS((-$B158))+Inputs!$B$71*SIN((-$B158)))-Inputs!$B$5)*(K158-Inputs!$B$5)+((Inputs!$C$71*SIN((-$B158))-Inputs!$B$71*COS((-$B158)))-Inputs!$B$6)*(L158-Inputs!$B$6))/M158)&lt;$B$16,$B$7/2,$B$8/2)-Inputs!$B$39),IF(OR(Inputs!$C$72=0,((((Inputs!$C$72*COS((-$B158))+Inputs!$B$72*SIN((-$B158)))-Inputs!$B$5)*(K158-Inputs!$B$5)+((Inputs!$C$72*SIN((-$B158))-Inputs!$B$72*COS((-$B158)))-Inputs!$B$6)*(L158-Inputs!$B$6))/M158)&lt;0,((((Inputs!$C$72*COS((-$B158))+Inputs!$B$72*SIN((-$B158)))-Inputs!$B$5)*(K158-Inputs!$B$5)+((Inputs!$C$72*SIN((-$B158))-Inputs!$B$72*COS((-$B158)))-Inputs!$B$6)*(L158-Inputs!$B$6))/M158)&gt;M158-Inputs!$B$40),999,(ABS((K158-Inputs!$B$5)*((Inputs!$C$72*SIN((-$B158))-Inputs!$B$72*COS((-$B158)))-Inputs!$B$6)-(L158-Inputs!$B$6)*((Inputs!$C$72*COS((-$B158))+Inputs!$B$72*SIN((-$B158)))-Inputs!$B$5))/M158)-IF(((((Inputs!$C$72*COS((-$B158))+Inputs!$B$72*SIN((-$B158)))-Inputs!$B$5)*(K158-Inputs!$B$5)+((Inputs!$C$72*SIN((-$B158))-Inputs!$B$72*COS((-$B158)))-Inputs!$B$6)*(L158-Inputs!$B$6))/M158)&lt;$B$16,$B$7/2,$B$8/2)-Inputs!$B$39))</f>
        <v>14.16504556</v>
      </c>
      <c r="P158" s="76">
        <f>IF(AND(M158&gt;=$B$14,M158&lt;=$B$15,N158&lt;=Inputs!$B$38,O158&gt;=0,$D158=1),1,0)</f>
        <v>0</v>
      </c>
    </row>
    <row r="159" ht="15.75" customHeight="1">
      <c r="A159" s="23">
        <v>29.0</v>
      </c>
      <c r="B159" s="40">
        <f t="shared" si="4"/>
        <v>0.5061454831</v>
      </c>
      <c r="C159" s="29">
        <f>MAX(Inputs!$C$68*COS($B159)+Inputs!$B$68*ABS(SIN($B159)),Inputs!$C$69*COS($B159)+Inputs!$B$69*ABS(SIN($B159)),Inputs!$C$70*COS($B159)+Inputs!$B$70*ABS(SIN($B159)),Inputs!$C$71*COS($B159)+Inputs!$B$71*ABS(SIN($B159)),Inputs!$C$72*COS($B159)+Inputs!$B$72*ABS(SIN($B159)))</f>
        <v>262.3778866</v>
      </c>
      <c r="D159" s="108">
        <f>IF(C159&lt;=Inputs!$B$38,1,0)</f>
        <v>1</v>
      </c>
      <c r="E159" s="29">
        <f>Inputs!$B$11*COS(($B159))-Inputs!$B$7*SIN(($B159))</f>
        <v>180.7985961</v>
      </c>
      <c r="F159" s="29">
        <f>Inputs!$B$11*SIN(($B159))+Inputs!$B$7*COS(($B159))</f>
        <v>-128.4525153</v>
      </c>
      <c r="G159" s="29">
        <f>SQRT((E159-Inputs!$B$5)^2+(F159-Inputs!$B$6)^2)</f>
        <v>238.7035526</v>
      </c>
      <c r="H159" s="29">
        <f>MAX(MAX(Inputs!$B$5,(Inputs!$B$5+(E159-Inputs!$B$5)*MIN(1,$B$16/G159)))+$B$7/2,MAX((Inputs!$B$5+(E159-Inputs!$B$5)*MIN(1,$B$16/G159)),E159)+Inputs!$B$41)</f>
        <v>291.8</v>
      </c>
      <c r="I159" s="29">
        <f>MIN(IF(OR(Inputs!$C$68=0,((((Inputs!$C$68*COS(($B159))+Inputs!$B$68*SIN(($B159)))-Inputs!$B$5)*(E159-Inputs!$B$5)+((Inputs!$C$68*SIN(($B159))-Inputs!$B$68*COS(($B159)))-Inputs!$B$6)*(F159-Inputs!$B$6))/G159)&lt;0,((((Inputs!$C$68*COS(($B159))+Inputs!$B$68*SIN(($B159)))-Inputs!$B$5)*(E159-Inputs!$B$5)+((Inputs!$C$68*SIN(($B159))-Inputs!$B$68*COS(($B159)))-Inputs!$B$6)*(F159-Inputs!$B$6))/G159)&gt;G159-Inputs!$B$40),999,(ABS((E159-Inputs!$B$5)*((Inputs!$C$68*SIN(($B159))-Inputs!$B$68*COS(($B159)))-Inputs!$B$6)-(F159-Inputs!$B$6)*((Inputs!$C$68*COS(($B159))+Inputs!$B$68*SIN(($B159)))-Inputs!$B$5))/G159)-IF(((((Inputs!$C$68*COS(($B159))+Inputs!$B$68*SIN(($B159)))-Inputs!$B$5)*(E159-Inputs!$B$5)+((Inputs!$C$68*SIN(($B159))-Inputs!$B$68*COS(($B159)))-Inputs!$B$6)*(F159-Inputs!$B$6))/G159)&lt;$B$16,$B$7/2,$B$8/2)-Inputs!$B$39),IF(OR(Inputs!$C$69=0,((((Inputs!$C$69*COS(($B159))+Inputs!$B$69*SIN(($B159)))-Inputs!$B$5)*(E159-Inputs!$B$5)+((Inputs!$C$69*SIN(($B159))-Inputs!$B$69*COS(($B159)))-Inputs!$B$6)*(F159-Inputs!$B$6))/G159)&lt;0,((((Inputs!$C$69*COS(($B159))+Inputs!$B$69*SIN(($B159)))-Inputs!$B$5)*(E159-Inputs!$B$5)+((Inputs!$C$69*SIN(($B159))-Inputs!$B$69*COS(($B159)))-Inputs!$B$6)*(F159-Inputs!$B$6))/G159)&gt;G159-Inputs!$B$40),999,(ABS((E159-Inputs!$B$5)*((Inputs!$C$69*SIN(($B159))-Inputs!$B$69*COS(($B159)))-Inputs!$B$6)-(F159-Inputs!$B$6)*((Inputs!$C$69*COS(($B159))+Inputs!$B$69*SIN(($B159)))-Inputs!$B$5))/G159)-IF(((((Inputs!$C$69*COS(($B159))+Inputs!$B$69*SIN(($B159)))-Inputs!$B$5)*(E159-Inputs!$B$5)+((Inputs!$C$69*SIN(($B159))-Inputs!$B$69*COS(($B159)))-Inputs!$B$6)*(F159-Inputs!$B$6))/G159)&lt;$B$16,$B$7/2,$B$8/2)-Inputs!$B$39),IF(OR(Inputs!$C$70=0,((((Inputs!$C$70*COS(($B159))+Inputs!$B$70*SIN(($B159)))-Inputs!$B$5)*(E159-Inputs!$B$5)+((Inputs!$C$70*SIN(($B159))-Inputs!$B$70*COS(($B159)))-Inputs!$B$6)*(F159-Inputs!$B$6))/G159)&lt;0,((((Inputs!$C$70*COS(($B159))+Inputs!$B$70*SIN(($B159)))-Inputs!$B$5)*(E159-Inputs!$B$5)+((Inputs!$C$70*SIN(($B159))-Inputs!$B$70*COS(($B159)))-Inputs!$B$6)*(F159-Inputs!$B$6))/G159)&gt;G159-Inputs!$B$40),999,(ABS((E159-Inputs!$B$5)*((Inputs!$C$70*SIN(($B159))-Inputs!$B$70*COS(($B159)))-Inputs!$B$6)-(F159-Inputs!$B$6)*((Inputs!$C$70*COS(($B159))+Inputs!$B$70*SIN(($B159)))-Inputs!$B$5))/G159)-IF(((((Inputs!$C$70*COS(($B159))+Inputs!$B$70*SIN(($B159)))-Inputs!$B$5)*(E159-Inputs!$B$5)+((Inputs!$C$70*SIN(($B159))-Inputs!$B$70*COS(($B159)))-Inputs!$B$6)*(F159-Inputs!$B$6))/G159)&lt;$B$16,$B$7/2,$B$8/2)-Inputs!$B$39),IF(OR(Inputs!$C$71=0,((((Inputs!$C$71*COS(($B159))+Inputs!$B$71*SIN(($B159)))-Inputs!$B$5)*(E159-Inputs!$B$5)+((Inputs!$C$71*SIN(($B159))-Inputs!$B$71*COS(($B159)))-Inputs!$B$6)*(F159-Inputs!$B$6))/G159)&lt;0,((((Inputs!$C$71*COS(($B159))+Inputs!$B$71*SIN(($B159)))-Inputs!$B$5)*(E159-Inputs!$B$5)+((Inputs!$C$71*SIN(($B159))-Inputs!$B$71*COS(($B159)))-Inputs!$B$6)*(F159-Inputs!$B$6))/G159)&gt;G159-Inputs!$B$40),999,(ABS((E159-Inputs!$B$5)*((Inputs!$C$71*SIN(($B159))-Inputs!$B$71*COS(($B159)))-Inputs!$B$6)-(F159-Inputs!$B$6)*((Inputs!$C$71*COS(($B159))+Inputs!$B$71*SIN(($B159)))-Inputs!$B$5))/G159)-IF(((((Inputs!$C$71*COS(($B159))+Inputs!$B$71*SIN(($B159)))-Inputs!$B$5)*(E159-Inputs!$B$5)+((Inputs!$C$71*SIN(($B159))-Inputs!$B$71*COS(($B159)))-Inputs!$B$6)*(F159-Inputs!$B$6))/G159)&lt;$B$16,$B$7/2,$B$8/2)-Inputs!$B$39),IF(OR(Inputs!$C$72=0,((((Inputs!$C$72*COS(($B159))+Inputs!$B$72*SIN(($B159)))-Inputs!$B$5)*(E159-Inputs!$B$5)+((Inputs!$C$72*SIN(($B159))-Inputs!$B$72*COS(($B159)))-Inputs!$B$6)*(F159-Inputs!$B$6))/G159)&lt;0,((((Inputs!$C$72*COS(($B159))+Inputs!$B$72*SIN(($B159)))-Inputs!$B$5)*(E159-Inputs!$B$5)+((Inputs!$C$72*SIN(($B159))-Inputs!$B$72*COS(($B159)))-Inputs!$B$6)*(F159-Inputs!$B$6))/G159)&gt;G159-Inputs!$B$40),999,(ABS((E159-Inputs!$B$5)*((Inputs!$C$72*SIN(($B159))-Inputs!$B$72*COS(($B159)))-Inputs!$B$6)-(F159-Inputs!$B$6)*((Inputs!$C$72*COS(($B159))+Inputs!$B$72*SIN(($B159)))-Inputs!$B$5))/G159)-IF(((((Inputs!$C$72*COS(($B159))+Inputs!$B$72*SIN(($B159)))-Inputs!$B$5)*(E159-Inputs!$B$5)+((Inputs!$C$72*SIN(($B159))-Inputs!$B$72*COS(($B159)))-Inputs!$B$6)*(F159-Inputs!$B$6))/G159)&lt;$B$16,$B$7/2,$B$8/2)-Inputs!$B$39))</f>
        <v>52.13420816</v>
      </c>
      <c r="J159" s="76">
        <f>IF(AND(G159&gt;=$B$14,G159&lt;=$B$15,H159&lt;=Inputs!$B$38,I159&gt;=0,$D159=1),1,0)</f>
        <v>0</v>
      </c>
      <c r="K159" s="29">
        <f>Inputs!$B$11*COS((-$B159))-Inputs!$B$7*SIN((-$B159))</f>
        <v>-13.12525202</v>
      </c>
      <c r="L159" s="29">
        <f>Inputs!$B$11*SIN((-$B159))+Inputs!$B$7*COS((-$B159))</f>
        <v>-221.3953676</v>
      </c>
      <c r="M159" s="29">
        <f>SQRT((K159-Inputs!$B$5)^2+(L159-Inputs!$B$6)^2)</f>
        <v>415.3671635</v>
      </c>
      <c r="N159" s="29">
        <f>MAX(MAX(Inputs!$B$5,(Inputs!$B$5+(K159-Inputs!$B$5)*MIN(1,$B$16/M159)))+$B$7/2,MAX((Inputs!$B$5+(K159-Inputs!$B$5)*MIN(1,$B$16/M159)),K159)+Inputs!$B$41)</f>
        <v>291.8</v>
      </c>
      <c r="O159" s="29">
        <f>MIN(IF(OR(Inputs!$C$68=0,((((Inputs!$C$68*COS((-$B159))+Inputs!$B$68*SIN((-$B159)))-Inputs!$B$5)*(K159-Inputs!$B$5)+((Inputs!$C$68*SIN((-$B159))-Inputs!$B$68*COS((-$B159)))-Inputs!$B$6)*(L159-Inputs!$B$6))/M159)&lt;0,((((Inputs!$C$68*COS((-$B159))+Inputs!$B$68*SIN((-$B159)))-Inputs!$B$5)*(K159-Inputs!$B$5)+((Inputs!$C$68*SIN((-$B159))-Inputs!$B$68*COS((-$B159)))-Inputs!$B$6)*(L159-Inputs!$B$6))/M159)&gt;M159-Inputs!$B$40),999,(ABS((K159-Inputs!$B$5)*((Inputs!$C$68*SIN((-$B159))-Inputs!$B$68*COS((-$B159)))-Inputs!$B$6)-(L159-Inputs!$B$6)*((Inputs!$C$68*COS((-$B159))+Inputs!$B$68*SIN((-$B159)))-Inputs!$B$5))/M159)-IF(((((Inputs!$C$68*COS((-$B159))+Inputs!$B$68*SIN((-$B159)))-Inputs!$B$5)*(K159-Inputs!$B$5)+((Inputs!$C$68*SIN((-$B159))-Inputs!$B$68*COS((-$B159)))-Inputs!$B$6)*(L159-Inputs!$B$6))/M159)&lt;$B$16,$B$7/2,$B$8/2)-Inputs!$B$39),IF(OR(Inputs!$C$69=0,((((Inputs!$C$69*COS((-$B159))+Inputs!$B$69*SIN((-$B159)))-Inputs!$B$5)*(K159-Inputs!$B$5)+((Inputs!$C$69*SIN((-$B159))-Inputs!$B$69*COS((-$B159)))-Inputs!$B$6)*(L159-Inputs!$B$6))/M159)&lt;0,((((Inputs!$C$69*COS((-$B159))+Inputs!$B$69*SIN((-$B159)))-Inputs!$B$5)*(K159-Inputs!$B$5)+((Inputs!$C$69*SIN((-$B159))-Inputs!$B$69*COS((-$B159)))-Inputs!$B$6)*(L159-Inputs!$B$6))/M159)&gt;M159-Inputs!$B$40),999,(ABS((K159-Inputs!$B$5)*((Inputs!$C$69*SIN((-$B159))-Inputs!$B$69*COS((-$B159)))-Inputs!$B$6)-(L159-Inputs!$B$6)*((Inputs!$C$69*COS((-$B159))+Inputs!$B$69*SIN((-$B159)))-Inputs!$B$5))/M159)-IF(((((Inputs!$C$69*COS((-$B159))+Inputs!$B$69*SIN((-$B159)))-Inputs!$B$5)*(K159-Inputs!$B$5)+((Inputs!$C$69*SIN((-$B159))-Inputs!$B$69*COS((-$B159)))-Inputs!$B$6)*(L159-Inputs!$B$6))/M159)&lt;$B$16,$B$7/2,$B$8/2)-Inputs!$B$39),IF(OR(Inputs!$C$70=0,((((Inputs!$C$70*COS((-$B159))+Inputs!$B$70*SIN((-$B159)))-Inputs!$B$5)*(K159-Inputs!$B$5)+((Inputs!$C$70*SIN((-$B159))-Inputs!$B$70*COS((-$B159)))-Inputs!$B$6)*(L159-Inputs!$B$6))/M159)&lt;0,((((Inputs!$C$70*COS((-$B159))+Inputs!$B$70*SIN((-$B159)))-Inputs!$B$5)*(K159-Inputs!$B$5)+((Inputs!$C$70*SIN((-$B159))-Inputs!$B$70*COS((-$B159)))-Inputs!$B$6)*(L159-Inputs!$B$6))/M159)&gt;M159-Inputs!$B$40),999,(ABS((K159-Inputs!$B$5)*((Inputs!$C$70*SIN((-$B159))-Inputs!$B$70*COS((-$B159)))-Inputs!$B$6)-(L159-Inputs!$B$6)*((Inputs!$C$70*COS((-$B159))+Inputs!$B$70*SIN((-$B159)))-Inputs!$B$5))/M159)-IF(((((Inputs!$C$70*COS((-$B159))+Inputs!$B$70*SIN((-$B159)))-Inputs!$B$5)*(K159-Inputs!$B$5)+((Inputs!$C$70*SIN((-$B159))-Inputs!$B$70*COS((-$B159)))-Inputs!$B$6)*(L159-Inputs!$B$6))/M159)&lt;$B$16,$B$7/2,$B$8/2)-Inputs!$B$39),IF(OR(Inputs!$C$71=0,((((Inputs!$C$71*COS((-$B159))+Inputs!$B$71*SIN((-$B159)))-Inputs!$B$5)*(K159-Inputs!$B$5)+((Inputs!$C$71*SIN((-$B159))-Inputs!$B$71*COS((-$B159)))-Inputs!$B$6)*(L159-Inputs!$B$6))/M159)&lt;0,((((Inputs!$C$71*COS((-$B159))+Inputs!$B$71*SIN((-$B159)))-Inputs!$B$5)*(K159-Inputs!$B$5)+((Inputs!$C$71*SIN((-$B159))-Inputs!$B$71*COS((-$B159)))-Inputs!$B$6)*(L159-Inputs!$B$6))/M159)&gt;M159-Inputs!$B$40),999,(ABS((K159-Inputs!$B$5)*((Inputs!$C$71*SIN((-$B159))-Inputs!$B$71*COS((-$B159)))-Inputs!$B$6)-(L159-Inputs!$B$6)*((Inputs!$C$71*COS((-$B159))+Inputs!$B$71*SIN((-$B159)))-Inputs!$B$5))/M159)-IF(((((Inputs!$C$71*COS((-$B159))+Inputs!$B$71*SIN((-$B159)))-Inputs!$B$5)*(K159-Inputs!$B$5)+((Inputs!$C$71*SIN((-$B159))-Inputs!$B$71*COS((-$B159)))-Inputs!$B$6)*(L159-Inputs!$B$6))/M159)&lt;$B$16,$B$7/2,$B$8/2)-Inputs!$B$39),IF(OR(Inputs!$C$72=0,((((Inputs!$C$72*COS((-$B159))+Inputs!$B$72*SIN((-$B159)))-Inputs!$B$5)*(K159-Inputs!$B$5)+((Inputs!$C$72*SIN((-$B159))-Inputs!$B$72*COS((-$B159)))-Inputs!$B$6)*(L159-Inputs!$B$6))/M159)&lt;0,((((Inputs!$C$72*COS((-$B159))+Inputs!$B$72*SIN((-$B159)))-Inputs!$B$5)*(K159-Inputs!$B$5)+((Inputs!$C$72*SIN((-$B159))-Inputs!$B$72*COS((-$B159)))-Inputs!$B$6)*(L159-Inputs!$B$6))/M159)&gt;M159-Inputs!$B$40),999,(ABS((K159-Inputs!$B$5)*((Inputs!$C$72*SIN((-$B159))-Inputs!$B$72*COS((-$B159)))-Inputs!$B$6)-(L159-Inputs!$B$6)*((Inputs!$C$72*COS((-$B159))+Inputs!$B$72*SIN((-$B159)))-Inputs!$B$5))/M159)-IF(((((Inputs!$C$72*COS((-$B159))+Inputs!$B$72*SIN((-$B159)))-Inputs!$B$5)*(K159-Inputs!$B$5)+((Inputs!$C$72*SIN((-$B159))-Inputs!$B$72*COS((-$B159)))-Inputs!$B$6)*(L159-Inputs!$B$6))/M159)&lt;$B$16,$B$7/2,$B$8/2)-Inputs!$B$39))</f>
        <v>13.82706313</v>
      </c>
      <c r="P159" s="76">
        <f>IF(AND(M159&gt;=$B$14,M159&lt;=$B$15,N159&lt;=Inputs!$B$38,O159&gt;=0,$D159=1),1,0)</f>
        <v>0</v>
      </c>
    </row>
    <row r="160" ht="15.75" customHeight="1">
      <c r="A160" s="23">
        <v>29.25</v>
      </c>
      <c r="B160" s="40">
        <f t="shared" si="4"/>
        <v>0.5105088062</v>
      </c>
      <c r="C160" s="29">
        <f>MAX(Inputs!$C$68*COS($B160)+Inputs!$B$68*ABS(SIN($B160)),Inputs!$C$69*COS($B160)+Inputs!$B$69*ABS(SIN($B160)),Inputs!$C$70*COS($B160)+Inputs!$B$70*ABS(SIN($B160)),Inputs!$C$71*COS($B160)+Inputs!$B$71*ABS(SIN($B160)),Inputs!$C$72*COS($B160)+Inputs!$B$72*ABS(SIN($B160)))</f>
        <v>263.7297239</v>
      </c>
      <c r="D160" s="108">
        <f>IF(C160&lt;=Inputs!$B$38,1,0)</f>
        <v>1</v>
      </c>
      <c r="E160" s="29">
        <f>Inputs!$B$11*COS(($B160))-Inputs!$B$7*SIN(($B160))</f>
        <v>181.3573531</v>
      </c>
      <c r="F160" s="29">
        <f>Inputs!$B$11*SIN(($B160))+Inputs!$B$7*COS(($B160))</f>
        <v>-127.6624123</v>
      </c>
      <c r="G160" s="29">
        <f>SQRT((E160-Inputs!$B$5)^2+(F160-Inputs!$B$6)^2)</f>
        <v>237.7855903</v>
      </c>
      <c r="H160" s="29">
        <f>MAX(MAX(Inputs!$B$5,(Inputs!$B$5+(E160-Inputs!$B$5)*MIN(1,$B$16/G160)))+$B$7/2,MAX((Inputs!$B$5+(E160-Inputs!$B$5)*MIN(1,$B$16/G160)),E160)+Inputs!$B$41)</f>
        <v>291.8</v>
      </c>
      <c r="I160" s="29">
        <f>MIN(IF(OR(Inputs!$C$68=0,((((Inputs!$C$68*COS(($B160))+Inputs!$B$68*SIN(($B160)))-Inputs!$B$5)*(E160-Inputs!$B$5)+((Inputs!$C$68*SIN(($B160))-Inputs!$B$68*COS(($B160)))-Inputs!$B$6)*(F160-Inputs!$B$6))/G160)&lt;0,((((Inputs!$C$68*COS(($B160))+Inputs!$B$68*SIN(($B160)))-Inputs!$B$5)*(E160-Inputs!$B$5)+((Inputs!$C$68*SIN(($B160))-Inputs!$B$68*COS(($B160)))-Inputs!$B$6)*(F160-Inputs!$B$6))/G160)&gt;G160-Inputs!$B$40),999,(ABS((E160-Inputs!$B$5)*((Inputs!$C$68*SIN(($B160))-Inputs!$B$68*COS(($B160)))-Inputs!$B$6)-(F160-Inputs!$B$6)*((Inputs!$C$68*COS(($B160))+Inputs!$B$68*SIN(($B160)))-Inputs!$B$5))/G160)-IF(((((Inputs!$C$68*COS(($B160))+Inputs!$B$68*SIN(($B160)))-Inputs!$B$5)*(E160-Inputs!$B$5)+((Inputs!$C$68*SIN(($B160))-Inputs!$B$68*COS(($B160)))-Inputs!$B$6)*(F160-Inputs!$B$6))/G160)&lt;$B$16,$B$7/2,$B$8/2)-Inputs!$B$39),IF(OR(Inputs!$C$69=0,((((Inputs!$C$69*COS(($B160))+Inputs!$B$69*SIN(($B160)))-Inputs!$B$5)*(E160-Inputs!$B$5)+((Inputs!$C$69*SIN(($B160))-Inputs!$B$69*COS(($B160)))-Inputs!$B$6)*(F160-Inputs!$B$6))/G160)&lt;0,((((Inputs!$C$69*COS(($B160))+Inputs!$B$69*SIN(($B160)))-Inputs!$B$5)*(E160-Inputs!$B$5)+((Inputs!$C$69*SIN(($B160))-Inputs!$B$69*COS(($B160)))-Inputs!$B$6)*(F160-Inputs!$B$6))/G160)&gt;G160-Inputs!$B$40),999,(ABS((E160-Inputs!$B$5)*((Inputs!$C$69*SIN(($B160))-Inputs!$B$69*COS(($B160)))-Inputs!$B$6)-(F160-Inputs!$B$6)*((Inputs!$C$69*COS(($B160))+Inputs!$B$69*SIN(($B160)))-Inputs!$B$5))/G160)-IF(((((Inputs!$C$69*COS(($B160))+Inputs!$B$69*SIN(($B160)))-Inputs!$B$5)*(E160-Inputs!$B$5)+((Inputs!$C$69*SIN(($B160))-Inputs!$B$69*COS(($B160)))-Inputs!$B$6)*(F160-Inputs!$B$6))/G160)&lt;$B$16,$B$7/2,$B$8/2)-Inputs!$B$39),IF(OR(Inputs!$C$70=0,((((Inputs!$C$70*COS(($B160))+Inputs!$B$70*SIN(($B160)))-Inputs!$B$5)*(E160-Inputs!$B$5)+((Inputs!$C$70*SIN(($B160))-Inputs!$B$70*COS(($B160)))-Inputs!$B$6)*(F160-Inputs!$B$6))/G160)&lt;0,((((Inputs!$C$70*COS(($B160))+Inputs!$B$70*SIN(($B160)))-Inputs!$B$5)*(E160-Inputs!$B$5)+((Inputs!$C$70*SIN(($B160))-Inputs!$B$70*COS(($B160)))-Inputs!$B$6)*(F160-Inputs!$B$6))/G160)&gt;G160-Inputs!$B$40),999,(ABS((E160-Inputs!$B$5)*((Inputs!$C$70*SIN(($B160))-Inputs!$B$70*COS(($B160)))-Inputs!$B$6)-(F160-Inputs!$B$6)*((Inputs!$C$70*COS(($B160))+Inputs!$B$70*SIN(($B160)))-Inputs!$B$5))/G160)-IF(((((Inputs!$C$70*COS(($B160))+Inputs!$B$70*SIN(($B160)))-Inputs!$B$5)*(E160-Inputs!$B$5)+((Inputs!$C$70*SIN(($B160))-Inputs!$B$70*COS(($B160)))-Inputs!$B$6)*(F160-Inputs!$B$6))/G160)&lt;$B$16,$B$7/2,$B$8/2)-Inputs!$B$39),IF(OR(Inputs!$C$71=0,((((Inputs!$C$71*COS(($B160))+Inputs!$B$71*SIN(($B160)))-Inputs!$B$5)*(E160-Inputs!$B$5)+((Inputs!$C$71*SIN(($B160))-Inputs!$B$71*COS(($B160)))-Inputs!$B$6)*(F160-Inputs!$B$6))/G160)&lt;0,((((Inputs!$C$71*COS(($B160))+Inputs!$B$71*SIN(($B160)))-Inputs!$B$5)*(E160-Inputs!$B$5)+((Inputs!$C$71*SIN(($B160))-Inputs!$B$71*COS(($B160)))-Inputs!$B$6)*(F160-Inputs!$B$6))/G160)&gt;G160-Inputs!$B$40),999,(ABS((E160-Inputs!$B$5)*((Inputs!$C$71*SIN(($B160))-Inputs!$B$71*COS(($B160)))-Inputs!$B$6)-(F160-Inputs!$B$6)*((Inputs!$C$71*COS(($B160))+Inputs!$B$71*SIN(($B160)))-Inputs!$B$5))/G160)-IF(((((Inputs!$C$71*COS(($B160))+Inputs!$B$71*SIN(($B160)))-Inputs!$B$5)*(E160-Inputs!$B$5)+((Inputs!$C$71*SIN(($B160))-Inputs!$B$71*COS(($B160)))-Inputs!$B$6)*(F160-Inputs!$B$6))/G160)&lt;$B$16,$B$7/2,$B$8/2)-Inputs!$B$39),IF(OR(Inputs!$C$72=0,((((Inputs!$C$72*COS(($B160))+Inputs!$B$72*SIN(($B160)))-Inputs!$B$5)*(E160-Inputs!$B$5)+((Inputs!$C$72*SIN(($B160))-Inputs!$B$72*COS(($B160)))-Inputs!$B$6)*(F160-Inputs!$B$6))/G160)&lt;0,((((Inputs!$C$72*COS(($B160))+Inputs!$B$72*SIN(($B160)))-Inputs!$B$5)*(E160-Inputs!$B$5)+((Inputs!$C$72*SIN(($B160))-Inputs!$B$72*COS(($B160)))-Inputs!$B$6)*(F160-Inputs!$B$6))/G160)&gt;G160-Inputs!$B$40),999,(ABS((E160-Inputs!$B$5)*((Inputs!$C$72*SIN(($B160))-Inputs!$B$72*COS(($B160)))-Inputs!$B$6)-(F160-Inputs!$B$6)*((Inputs!$C$72*COS(($B160))+Inputs!$B$72*SIN(($B160)))-Inputs!$B$5))/G160)-IF(((((Inputs!$C$72*COS(($B160))+Inputs!$B$72*SIN(($B160)))-Inputs!$B$5)*(E160-Inputs!$B$5)+((Inputs!$C$72*SIN(($B160))-Inputs!$B$72*COS(($B160)))-Inputs!$B$6)*(F160-Inputs!$B$6))/G160)&lt;$B$16,$B$7/2,$B$8/2)-Inputs!$B$39))</f>
        <v>52.29037117</v>
      </c>
      <c r="J160" s="76">
        <f>IF(AND(G160&gt;=$B$14,G160&lt;=$B$15,H160&lt;=Inputs!$B$38,I160&gt;=0,$D160=1),1,0)</f>
        <v>0</v>
      </c>
      <c r="K160" s="29">
        <f>Inputs!$B$11*COS((-$B160))-Inputs!$B$7*SIN((-$B160))</f>
        <v>-14.09114354</v>
      </c>
      <c r="L160" s="29">
        <f>Inputs!$B$11*SIN((-$B160))+Inputs!$B$7*COS((-$B160))</f>
        <v>-221.3359905</v>
      </c>
      <c r="M160" s="29">
        <f>SQRT((K160-Inputs!$B$5)^2+(L160-Inputs!$B$6)^2)</f>
        <v>415.93383</v>
      </c>
      <c r="N160" s="29">
        <f>MAX(MAX(Inputs!$B$5,(Inputs!$B$5+(K160-Inputs!$B$5)*MIN(1,$B$16/M160)))+$B$7/2,MAX((Inputs!$B$5+(K160-Inputs!$B$5)*MIN(1,$B$16/M160)),K160)+Inputs!$B$41)</f>
        <v>291.8</v>
      </c>
      <c r="O160" s="29">
        <f>MIN(IF(OR(Inputs!$C$68=0,((((Inputs!$C$68*COS((-$B160))+Inputs!$B$68*SIN((-$B160)))-Inputs!$B$5)*(K160-Inputs!$B$5)+((Inputs!$C$68*SIN((-$B160))-Inputs!$B$68*COS((-$B160)))-Inputs!$B$6)*(L160-Inputs!$B$6))/M160)&lt;0,((((Inputs!$C$68*COS((-$B160))+Inputs!$B$68*SIN((-$B160)))-Inputs!$B$5)*(K160-Inputs!$B$5)+((Inputs!$C$68*SIN((-$B160))-Inputs!$B$68*COS((-$B160)))-Inputs!$B$6)*(L160-Inputs!$B$6))/M160)&gt;M160-Inputs!$B$40),999,(ABS((K160-Inputs!$B$5)*((Inputs!$C$68*SIN((-$B160))-Inputs!$B$68*COS((-$B160)))-Inputs!$B$6)-(L160-Inputs!$B$6)*((Inputs!$C$68*COS((-$B160))+Inputs!$B$68*SIN((-$B160)))-Inputs!$B$5))/M160)-IF(((((Inputs!$C$68*COS((-$B160))+Inputs!$B$68*SIN((-$B160)))-Inputs!$B$5)*(K160-Inputs!$B$5)+((Inputs!$C$68*SIN((-$B160))-Inputs!$B$68*COS((-$B160)))-Inputs!$B$6)*(L160-Inputs!$B$6))/M160)&lt;$B$16,$B$7/2,$B$8/2)-Inputs!$B$39),IF(OR(Inputs!$C$69=0,((((Inputs!$C$69*COS((-$B160))+Inputs!$B$69*SIN((-$B160)))-Inputs!$B$5)*(K160-Inputs!$B$5)+((Inputs!$C$69*SIN((-$B160))-Inputs!$B$69*COS((-$B160)))-Inputs!$B$6)*(L160-Inputs!$B$6))/M160)&lt;0,((((Inputs!$C$69*COS((-$B160))+Inputs!$B$69*SIN((-$B160)))-Inputs!$B$5)*(K160-Inputs!$B$5)+((Inputs!$C$69*SIN((-$B160))-Inputs!$B$69*COS((-$B160)))-Inputs!$B$6)*(L160-Inputs!$B$6))/M160)&gt;M160-Inputs!$B$40),999,(ABS((K160-Inputs!$B$5)*((Inputs!$C$69*SIN((-$B160))-Inputs!$B$69*COS((-$B160)))-Inputs!$B$6)-(L160-Inputs!$B$6)*((Inputs!$C$69*COS((-$B160))+Inputs!$B$69*SIN((-$B160)))-Inputs!$B$5))/M160)-IF(((((Inputs!$C$69*COS((-$B160))+Inputs!$B$69*SIN((-$B160)))-Inputs!$B$5)*(K160-Inputs!$B$5)+((Inputs!$C$69*SIN((-$B160))-Inputs!$B$69*COS((-$B160)))-Inputs!$B$6)*(L160-Inputs!$B$6))/M160)&lt;$B$16,$B$7/2,$B$8/2)-Inputs!$B$39),IF(OR(Inputs!$C$70=0,((((Inputs!$C$70*COS((-$B160))+Inputs!$B$70*SIN((-$B160)))-Inputs!$B$5)*(K160-Inputs!$B$5)+((Inputs!$C$70*SIN((-$B160))-Inputs!$B$70*COS((-$B160)))-Inputs!$B$6)*(L160-Inputs!$B$6))/M160)&lt;0,((((Inputs!$C$70*COS((-$B160))+Inputs!$B$70*SIN((-$B160)))-Inputs!$B$5)*(K160-Inputs!$B$5)+((Inputs!$C$70*SIN((-$B160))-Inputs!$B$70*COS((-$B160)))-Inputs!$B$6)*(L160-Inputs!$B$6))/M160)&gt;M160-Inputs!$B$40),999,(ABS((K160-Inputs!$B$5)*((Inputs!$C$70*SIN((-$B160))-Inputs!$B$70*COS((-$B160)))-Inputs!$B$6)-(L160-Inputs!$B$6)*((Inputs!$C$70*COS((-$B160))+Inputs!$B$70*SIN((-$B160)))-Inputs!$B$5))/M160)-IF(((((Inputs!$C$70*COS((-$B160))+Inputs!$B$70*SIN((-$B160)))-Inputs!$B$5)*(K160-Inputs!$B$5)+((Inputs!$C$70*SIN((-$B160))-Inputs!$B$70*COS((-$B160)))-Inputs!$B$6)*(L160-Inputs!$B$6))/M160)&lt;$B$16,$B$7/2,$B$8/2)-Inputs!$B$39),IF(OR(Inputs!$C$71=0,((((Inputs!$C$71*COS((-$B160))+Inputs!$B$71*SIN((-$B160)))-Inputs!$B$5)*(K160-Inputs!$B$5)+((Inputs!$C$71*SIN((-$B160))-Inputs!$B$71*COS((-$B160)))-Inputs!$B$6)*(L160-Inputs!$B$6))/M160)&lt;0,((((Inputs!$C$71*COS((-$B160))+Inputs!$B$71*SIN((-$B160)))-Inputs!$B$5)*(K160-Inputs!$B$5)+((Inputs!$C$71*SIN((-$B160))-Inputs!$B$71*COS((-$B160)))-Inputs!$B$6)*(L160-Inputs!$B$6))/M160)&gt;M160-Inputs!$B$40),999,(ABS((K160-Inputs!$B$5)*((Inputs!$C$71*SIN((-$B160))-Inputs!$B$71*COS((-$B160)))-Inputs!$B$6)-(L160-Inputs!$B$6)*((Inputs!$C$71*COS((-$B160))+Inputs!$B$71*SIN((-$B160)))-Inputs!$B$5))/M160)-IF(((((Inputs!$C$71*COS((-$B160))+Inputs!$B$71*SIN((-$B160)))-Inputs!$B$5)*(K160-Inputs!$B$5)+((Inputs!$C$71*SIN((-$B160))-Inputs!$B$71*COS((-$B160)))-Inputs!$B$6)*(L160-Inputs!$B$6))/M160)&lt;$B$16,$B$7/2,$B$8/2)-Inputs!$B$39),IF(OR(Inputs!$C$72=0,((((Inputs!$C$72*COS((-$B160))+Inputs!$B$72*SIN((-$B160)))-Inputs!$B$5)*(K160-Inputs!$B$5)+((Inputs!$C$72*SIN((-$B160))-Inputs!$B$72*COS((-$B160)))-Inputs!$B$6)*(L160-Inputs!$B$6))/M160)&lt;0,((((Inputs!$C$72*COS((-$B160))+Inputs!$B$72*SIN((-$B160)))-Inputs!$B$5)*(K160-Inputs!$B$5)+((Inputs!$C$72*SIN((-$B160))-Inputs!$B$72*COS((-$B160)))-Inputs!$B$6)*(L160-Inputs!$B$6))/M160)&gt;M160-Inputs!$B$40),999,(ABS((K160-Inputs!$B$5)*((Inputs!$C$72*SIN((-$B160))-Inputs!$B$72*COS((-$B160)))-Inputs!$B$6)-(L160-Inputs!$B$6)*((Inputs!$C$72*COS((-$B160))+Inputs!$B$72*SIN((-$B160)))-Inputs!$B$5))/M160)-IF(((((Inputs!$C$72*COS((-$B160))+Inputs!$B$72*SIN((-$B160)))-Inputs!$B$5)*(K160-Inputs!$B$5)+((Inputs!$C$72*SIN((-$B160))-Inputs!$B$72*COS((-$B160)))-Inputs!$B$6)*(L160-Inputs!$B$6))/M160)&lt;$B$16,$B$7/2,$B$8/2)-Inputs!$B$39))</f>
        <v>13.48899508</v>
      </c>
      <c r="P160" s="76">
        <f>IF(AND(M160&gt;=$B$14,M160&lt;=$B$15,N160&lt;=Inputs!$B$38,O160&gt;=0,$D160=1),1,0)</f>
        <v>0</v>
      </c>
    </row>
    <row r="161" ht="15.75" customHeight="1">
      <c r="A161" s="23">
        <v>29.5</v>
      </c>
      <c r="B161" s="40">
        <f t="shared" si="4"/>
        <v>0.5148721293</v>
      </c>
      <c r="C161" s="29">
        <f>MAX(Inputs!$C$68*COS($B161)+Inputs!$B$68*ABS(SIN($B161)),Inputs!$C$69*COS($B161)+Inputs!$B$69*ABS(SIN($B161)),Inputs!$C$70*COS($B161)+Inputs!$B$70*ABS(SIN($B161)),Inputs!$C$71*COS($B161)+Inputs!$B$71*ABS(SIN($B161)),Inputs!$C$72*COS($B161)+Inputs!$B$72*ABS(SIN($B161)))</f>
        <v>265.0765401</v>
      </c>
      <c r="D161" s="108">
        <f>IF(C161&lt;=Inputs!$B$38,1,0)</f>
        <v>1</v>
      </c>
      <c r="E161" s="29">
        <f>Inputs!$B$11*COS(($B161))-Inputs!$B$7*SIN(($B161))</f>
        <v>181.9126573</v>
      </c>
      <c r="F161" s="29">
        <f>Inputs!$B$11*SIN(($B161))+Inputs!$B$7*COS(($B161))</f>
        <v>-126.8698788</v>
      </c>
      <c r="G161" s="29">
        <f>SQRT((E161-Inputs!$B$5)^2+(F161-Inputs!$B$6)^2)</f>
        <v>236.8666886</v>
      </c>
      <c r="H161" s="29">
        <f>MAX(MAX(Inputs!$B$5,(Inputs!$B$5+(E161-Inputs!$B$5)*MIN(1,$B$16/G161)))+$B$7/2,MAX((Inputs!$B$5+(E161-Inputs!$B$5)*MIN(1,$B$16/G161)),E161)+Inputs!$B$41)</f>
        <v>291.8</v>
      </c>
      <c r="I161" s="29">
        <f>MIN(IF(OR(Inputs!$C$68=0,((((Inputs!$C$68*COS(($B161))+Inputs!$B$68*SIN(($B161)))-Inputs!$B$5)*(E161-Inputs!$B$5)+((Inputs!$C$68*SIN(($B161))-Inputs!$B$68*COS(($B161)))-Inputs!$B$6)*(F161-Inputs!$B$6))/G161)&lt;0,((((Inputs!$C$68*COS(($B161))+Inputs!$B$68*SIN(($B161)))-Inputs!$B$5)*(E161-Inputs!$B$5)+((Inputs!$C$68*SIN(($B161))-Inputs!$B$68*COS(($B161)))-Inputs!$B$6)*(F161-Inputs!$B$6))/G161)&gt;G161-Inputs!$B$40),999,(ABS((E161-Inputs!$B$5)*((Inputs!$C$68*SIN(($B161))-Inputs!$B$68*COS(($B161)))-Inputs!$B$6)-(F161-Inputs!$B$6)*((Inputs!$C$68*COS(($B161))+Inputs!$B$68*SIN(($B161)))-Inputs!$B$5))/G161)-IF(((((Inputs!$C$68*COS(($B161))+Inputs!$B$68*SIN(($B161)))-Inputs!$B$5)*(E161-Inputs!$B$5)+((Inputs!$C$68*SIN(($B161))-Inputs!$B$68*COS(($B161)))-Inputs!$B$6)*(F161-Inputs!$B$6))/G161)&lt;$B$16,$B$7/2,$B$8/2)-Inputs!$B$39),IF(OR(Inputs!$C$69=0,((((Inputs!$C$69*COS(($B161))+Inputs!$B$69*SIN(($B161)))-Inputs!$B$5)*(E161-Inputs!$B$5)+((Inputs!$C$69*SIN(($B161))-Inputs!$B$69*COS(($B161)))-Inputs!$B$6)*(F161-Inputs!$B$6))/G161)&lt;0,((((Inputs!$C$69*COS(($B161))+Inputs!$B$69*SIN(($B161)))-Inputs!$B$5)*(E161-Inputs!$B$5)+((Inputs!$C$69*SIN(($B161))-Inputs!$B$69*COS(($B161)))-Inputs!$B$6)*(F161-Inputs!$B$6))/G161)&gt;G161-Inputs!$B$40),999,(ABS((E161-Inputs!$B$5)*((Inputs!$C$69*SIN(($B161))-Inputs!$B$69*COS(($B161)))-Inputs!$B$6)-(F161-Inputs!$B$6)*((Inputs!$C$69*COS(($B161))+Inputs!$B$69*SIN(($B161)))-Inputs!$B$5))/G161)-IF(((((Inputs!$C$69*COS(($B161))+Inputs!$B$69*SIN(($B161)))-Inputs!$B$5)*(E161-Inputs!$B$5)+((Inputs!$C$69*SIN(($B161))-Inputs!$B$69*COS(($B161)))-Inputs!$B$6)*(F161-Inputs!$B$6))/G161)&lt;$B$16,$B$7/2,$B$8/2)-Inputs!$B$39),IF(OR(Inputs!$C$70=0,((((Inputs!$C$70*COS(($B161))+Inputs!$B$70*SIN(($B161)))-Inputs!$B$5)*(E161-Inputs!$B$5)+((Inputs!$C$70*SIN(($B161))-Inputs!$B$70*COS(($B161)))-Inputs!$B$6)*(F161-Inputs!$B$6))/G161)&lt;0,((((Inputs!$C$70*COS(($B161))+Inputs!$B$70*SIN(($B161)))-Inputs!$B$5)*(E161-Inputs!$B$5)+((Inputs!$C$70*SIN(($B161))-Inputs!$B$70*COS(($B161)))-Inputs!$B$6)*(F161-Inputs!$B$6))/G161)&gt;G161-Inputs!$B$40),999,(ABS((E161-Inputs!$B$5)*((Inputs!$C$70*SIN(($B161))-Inputs!$B$70*COS(($B161)))-Inputs!$B$6)-(F161-Inputs!$B$6)*((Inputs!$C$70*COS(($B161))+Inputs!$B$70*SIN(($B161)))-Inputs!$B$5))/G161)-IF(((((Inputs!$C$70*COS(($B161))+Inputs!$B$70*SIN(($B161)))-Inputs!$B$5)*(E161-Inputs!$B$5)+((Inputs!$C$70*SIN(($B161))-Inputs!$B$70*COS(($B161)))-Inputs!$B$6)*(F161-Inputs!$B$6))/G161)&lt;$B$16,$B$7/2,$B$8/2)-Inputs!$B$39),IF(OR(Inputs!$C$71=0,((((Inputs!$C$71*COS(($B161))+Inputs!$B$71*SIN(($B161)))-Inputs!$B$5)*(E161-Inputs!$B$5)+((Inputs!$C$71*SIN(($B161))-Inputs!$B$71*COS(($B161)))-Inputs!$B$6)*(F161-Inputs!$B$6))/G161)&lt;0,((((Inputs!$C$71*COS(($B161))+Inputs!$B$71*SIN(($B161)))-Inputs!$B$5)*(E161-Inputs!$B$5)+((Inputs!$C$71*SIN(($B161))-Inputs!$B$71*COS(($B161)))-Inputs!$B$6)*(F161-Inputs!$B$6))/G161)&gt;G161-Inputs!$B$40),999,(ABS((E161-Inputs!$B$5)*((Inputs!$C$71*SIN(($B161))-Inputs!$B$71*COS(($B161)))-Inputs!$B$6)-(F161-Inputs!$B$6)*((Inputs!$C$71*COS(($B161))+Inputs!$B$71*SIN(($B161)))-Inputs!$B$5))/G161)-IF(((((Inputs!$C$71*COS(($B161))+Inputs!$B$71*SIN(($B161)))-Inputs!$B$5)*(E161-Inputs!$B$5)+((Inputs!$C$71*SIN(($B161))-Inputs!$B$71*COS(($B161)))-Inputs!$B$6)*(F161-Inputs!$B$6))/G161)&lt;$B$16,$B$7/2,$B$8/2)-Inputs!$B$39),IF(OR(Inputs!$C$72=0,((((Inputs!$C$72*COS(($B161))+Inputs!$B$72*SIN(($B161)))-Inputs!$B$5)*(E161-Inputs!$B$5)+((Inputs!$C$72*SIN(($B161))-Inputs!$B$72*COS(($B161)))-Inputs!$B$6)*(F161-Inputs!$B$6))/G161)&lt;0,((((Inputs!$C$72*COS(($B161))+Inputs!$B$72*SIN(($B161)))-Inputs!$B$5)*(E161-Inputs!$B$5)+((Inputs!$C$72*SIN(($B161))-Inputs!$B$72*COS(($B161)))-Inputs!$B$6)*(F161-Inputs!$B$6))/G161)&gt;G161-Inputs!$B$40),999,(ABS((E161-Inputs!$B$5)*((Inputs!$C$72*SIN(($B161))-Inputs!$B$72*COS(($B161)))-Inputs!$B$6)-(F161-Inputs!$B$6)*((Inputs!$C$72*COS(($B161))+Inputs!$B$72*SIN(($B161)))-Inputs!$B$5))/G161)-IF(((((Inputs!$C$72*COS(($B161))+Inputs!$B$72*SIN(($B161)))-Inputs!$B$5)*(E161-Inputs!$B$5)+((Inputs!$C$72*SIN(($B161))-Inputs!$B$72*COS(($B161)))-Inputs!$B$6)*(F161-Inputs!$B$6))/G161)&lt;$B$16,$B$7/2,$B$8/2)-Inputs!$B$39))</f>
        <v>52.44596398</v>
      </c>
      <c r="J161" s="76">
        <f>IF(AND(G161&gt;=$B$14,G161&lt;=$B$15,H161&lt;=Inputs!$B$38,I161&gt;=0,$D161=1),1,0)</f>
        <v>0</v>
      </c>
      <c r="K161" s="29">
        <f>Inputs!$B$11*COS((-$B161))-Inputs!$B$7*SIN((-$B161))</f>
        <v>-15.05676679</v>
      </c>
      <c r="L161" s="29">
        <f>Inputs!$B$11*SIN((-$B161))+Inputs!$B$7*COS((-$B161))</f>
        <v>-221.2723995</v>
      </c>
      <c r="M161" s="29">
        <f>SQRT((K161-Inputs!$B$5)^2+(L161-Inputs!$B$6)^2)</f>
        <v>416.4985526</v>
      </c>
      <c r="N161" s="29">
        <f>MAX(MAX(Inputs!$B$5,(Inputs!$B$5+(K161-Inputs!$B$5)*MIN(1,$B$16/M161)))+$B$7/2,MAX((Inputs!$B$5+(K161-Inputs!$B$5)*MIN(1,$B$16/M161)),K161)+Inputs!$B$41)</f>
        <v>291.8</v>
      </c>
      <c r="O161" s="29">
        <f>MIN(IF(OR(Inputs!$C$68=0,((((Inputs!$C$68*COS((-$B161))+Inputs!$B$68*SIN((-$B161)))-Inputs!$B$5)*(K161-Inputs!$B$5)+((Inputs!$C$68*SIN((-$B161))-Inputs!$B$68*COS((-$B161)))-Inputs!$B$6)*(L161-Inputs!$B$6))/M161)&lt;0,((((Inputs!$C$68*COS((-$B161))+Inputs!$B$68*SIN((-$B161)))-Inputs!$B$5)*(K161-Inputs!$B$5)+((Inputs!$C$68*SIN((-$B161))-Inputs!$B$68*COS((-$B161)))-Inputs!$B$6)*(L161-Inputs!$B$6))/M161)&gt;M161-Inputs!$B$40),999,(ABS((K161-Inputs!$B$5)*((Inputs!$C$68*SIN((-$B161))-Inputs!$B$68*COS((-$B161)))-Inputs!$B$6)-(L161-Inputs!$B$6)*((Inputs!$C$68*COS((-$B161))+Inputs!$B$68*SIN((-$B161)))-Inputs!$B$5))/M161)-IF(((((Inputs!$C$68*COS((-$B161))+Inputs!$B$68*SIN((-$B161)))-Inputs!$B$5)*(K161-Inputs!$B$5)+((Inputs!$C$68*SIN((-$B161))-Inputs!$B$68*COS((-$B161)))-Inputs!$B$6)*(L161-Inputs!$B$6))/M161)&lt;$B$16,$B$7/2,$B$8/2)-Inputs!$B$39),IF(OR(Inputs!$C$69=0,((((Inputs!$C$69*COS((-$B161))+Inputs!$B$69*SIN((-$B161)))-Inputs!$B$5)*(K161-Inputs!$B$5)+((Inputs!$C$69*SIN((-$B161))-Inputs!$B$69*COS((-$B161)))-Inputs!$B$6)*(L161-Inputs!$B$6))/M161)&lt;0,((((Inputs!$C$69*COS((-$B161))+Inputs!$B$69*SIN((-$B161)))-Inputs!$B$5)*(K161-Inputs!$B$5)+((Inputs!$C$69*SIN((-$B161))-Inputs!$B$69*COS((-$B161)))-Inputs!$B$6)*(L161-Inputs!$B$6))/M161)&gt;M161-Inputs!$B$40),999,(ABS((K161-Inputs!$B$5)*((Inputs!$C$69*SIN((-$B161))-Inputs!$B$69*COS((-$B161)))-Inputs!$B$6)-(L161-Inputs!$B$6)*((Inputs!$C$69*COS((-$B161))+Inputs!$B$69*SIN((-$B161)))-Inputs!$B$5))/M161)-IF(((((Inputs!$C$69*COS((-$B161))+Inputs!$B$69*SIN((-$B161)))-Inputs!$B$5)*(K161-Inputs!$B$5)+((Inputs!$C$69*SIN((-$B161))-Inputs!$B$69*COS((-$B161)))-Inputs!$B$6)*(L161-Inputs!$B$6))/M161)&lt;$B$16,$B$7/2,$B$8/2)-Inputs!$B$39),IF(OR(Inputs!$C$70=0,((((Inputs!$C$70*COS((-$B161))+Inputs!$B$70*SIN((-$B161)))-Inputs!$B$5)*(K161-Inputs!$B$5)+((Inputs!$C$70*SIN((-$B161))-Inputs!$B$70*COS((-$B161)))-Inputs!$B$6)*(L161-Inputs!$B$6))/M161)&lt;0,((((Inputs!$C$70*COS((-$B161))+Inputs!$B$70*SIN((-$B161)))-Inputs!$B$5)*(K161-Inputs!$B$5)+((Inputs!$C$70*SIN((-$B161))-Inputs!$B$70*COS((-$B161)))-Inputs!$B$6)*(L161-Inputs!$B$6))/M161)&gt;M161-Inputs!$B$40),999,(ABS((K161-Inputs!$B$5)*((Inputs!$C$70*SIN((-$B161))-Inputs!$B$70*COS((-$B161)))-Inputs!$B$6)-(L161-Inputs!$B$6)*((Inputs!$C$70*COS((-$B161))+Inputs!$B$70*SIN((-$B161)))-Inputs!$B$5))/M161)-IF(((((Inputs!$C$70*COS((-$B161))+Inputs!$B$70*SIN((-$B161)))-Inputs!$B$5)*(K161-Inputs!$B$5)+((Inputs!$C$70*SIN((-$B161))-Inputs!$B$70*COS((-$B161)))-Inputs!$B$6)*(L161-Inputs!$B$6))/M161)&lt;$B$16,$B$7/2,$B$8/2)-Inputs!$B$39),IF(OR(Inputs!$C$71=0,((((Inputs!$C$71*COS((-$B161))+Inputs!$B$71*SIN((-$B161)))-Inputs!$B$5)*(K161-Inputs!$B$5)+((Inputs!$C$71*SIN((-$B161))-Inputs!$B$71*COS((-$B161)))-Inputs!$B$6)*(L161-Inputs!$B$6))/M161)&lt;0,((((Inputs!$C$71*COS((-$B161))+Inputs!$B$71*SIN((-$B161)))-Inputs!$B$5)*(K161-Inputs!$B$5)+((Inputs!$C$71*SIN((-$B161))-Inputs!$B$71*COS((-$B161)))-Inputs!$B$6)*(L161-Inputs!$B$6))/M161)&gt;M161-Inputs!$B$40),999,(ABS((K161-Inputs!$B$5)*((Inputs!$C$71*SIN((-$B161))-Inputs!$B$71*COS((-$B161)))-Inputs!$B$6)-(L161-Inputs!$B$6)*((Inputs!$C$71*COS((-$B161))+Inputs!$B$71*SIN((-$B161)))-Inputs!$B$5))/M161)-IF(((((Inputs!$C$71*COS((-$B161))+Inputs!$B$71*SIN((-$B161)))-Inputs!$B$5)*(K161-Inputs!$B$5)+((Inputs!$C$71*SIN((-$B161))-Inputs!$B$71*COS((-$B161)))-Inputs!$B$6)*(L161-Inputs!$B$6))/M161)&lt;$B$16,$B$7/2,$B$8/2)-Inputs!$B$39),IF(OR(Inputs!$C$72=0,((((Inputs!$C$72*COS((-$B161))+Inputs!$B$72*SIN((-$B161)))-Inputs!$B$5)*(K161-Inputs!$B$5)+((Inputs!$C$72*SIN((-$B161))-Inputs!$B$72*COS((-$B161)))-Inputs!$B$6)*(L161-Inputs!$B$6))/M161)&lt;0,((((Inputs!$C$72*COS((-$B161))+Inputs!$B$72*SIN((-$B161)))-Inputs!$B$5)*(K161-Inputs!$B$5)+((Inputs!$C$72*SIN((-$B161))-Inputs!$B$72*COS((-$B161)))-Inputs!$B$6)*(L161-Inputs!$B$6))/M161)&gt;M161-Inputs!$B$40),999,(ABS((K161-Inputs!$B$5)*((Inputs!$C$72*SIN((-$B161))-Inputs!$B$72*COS((-$B161)))-Inputs!$B$6)-(L161-Inputs!$B$6)*((Inputs!$C$72*COS((-$B161))+Inputs!$B$72*SIN((-$B161)))-Inputs!$B$5))/M161)-IF(((((Inputs!$C$72*COS((-$B161))+Inputs!$B$72*SIN((-$B161)))-Inputs!$B$5)*(K161-Inputs!$B$5)+((Inputs!$C$72*SIN((-$B161))-Inputs!$B$72*COS((-$B161)))-Inputs!$B$6)*(L161-Inputs!$B$6))/M161)&lt;$B$16,$B$7/2,$B$8/2)-Inputs!$B$39))</f>
        <v>13.15084286</v>
      </c>
      <c r="P161" s="76">
        <f>IF(AND(M161&gt;=$B$14,M161&lt;=$B$15,N161&lt;=Inputs!$B$38,O161&gt;=0,$D161=1),1,0)</f>
        <v>0</v>
      </c>
    </row>
    <row r="162" ht="15.75" customHeight="1">
      <c r="A162" s="23">
        <v>29.75</v>
      </c>
      <c r="B162" s="40">
        <f t="shared" si="4"/>
        <v>0.5192354525</v>
      </c>
      <c r="C162" s="29">
        <f>MAX(Inputs!$C$68*COS($B162)+Inputs!$B$68*ABS(SIN($B162)),Inputs!$C$69*COS($B162)+Inputs!$B$69*ABS(SIN($B162)),Inputs!$C$70*COS($B162)+Inputs!$B$70*ABS(SIN($B162)),Inputs!$C$71*COS($B162)+Inputs!$B$71*ABS(SIN($B162)),Inputs!$C$72*COS($B162)+Inputs!$B$72*ABS(SIN($B162)))</f>
        <v>266.4183096</v>
      </c>
      <c r="D162" s="108">
        <f>IF(C162&lt;=Inputs!$B$38,1,0)</f>
        <v>1</v>
      </c>
      <c r="E162" s="29">
        <f>Inputs!$B$11*COS(($B162))-Inputs!$B$7*SIN(($B162))</f>
        <v>182.4644981</v>
      </c>
      <c r="F162" s="29">
        <f>Inputs!$B$11*SIN(($B162))+Inputs!$B$7*COS(($B162))</f>
        <v>-126.0749299</v>
      </c>
      <c r="G162" s="29">
        <f>SQRT((E162-Inputs!$B$5)^2+(F162-Inputs!$B$6)^2)</f>
        <v>235.9468541</v>
      </c>
      <c r="H162" s="29">
        <f>MAX(MAX(Inputs!$B$5,(Inputs!$B$5+(E162-Inputs!$B$5)*MIN(1,$B$16/G162)))+$B$7/2,MAX((Inputs!$B$5+(E162-Inputs!$B$5)*MIN(1,$B$16/G162)),E162)+Inputs!$B$41)</f>
        <v>291.8</v>
      </c>
      <c r="I162" s="29">
        <f>MIN(IF(OR(Inputs!$C$68=0,((((Inputs!$C$68*COS(($B162))+Inputs!$B$68*SIN(($B162)))-Inputs!$B$5)*(E162-Inputs!$B$5)+((Inputs!$C$68*SIN(($B162))-Inputs!$B$68*COS(($B162)))-Inputs!$B$6)*(F162-Inputs!$B$6))/G162)&lt;0,((((Inputs!$C$68*COS(($B162))+Inputs!$B$68*SIN(($B162)))-Inputs!$B$5)*(E162-Inputs!$B$5)+((Inputs!$C$68*SIN(($B162))-Inputs!$B$68*COS(($B162)))-Inputs!$B$6)*(F162-Inputs!$B$6))/G162)&gt;G162-Inputs!$B$40),999,(ABS((E162-Inputs!$B$5)*((Inputs!$C$68*SIN(($B162))-Inputs!$B$68*COS(($B162)))-Inputs!$B$6)-(F162-Inputs!$B$6)*((Inputs!$C$68*COS(($B162))+Inputs!$B$68*SIN(($B162)))-Inputs!$B$5))/G162)-IF(((((Inputs!$C$68*COS(($B162))+Inputs!$B$68*SIN(($B162)))-Inputs!$B$5)*(E162-Inputs!$B$5)+((Inputs!$C$68*SIN(($B162))-Inputs!$B$68*COS(($B162)))-Inputs!$B$6)*(F162-Inputs!$B$6))/G162)&lt;$B$16,$B$7/2,$B$8/2)-Inputs!$B$39),IF(OR(Inputs!$C$69=0,((((Inputs!$C$69*COS(($B162))+Inputs!$B$69*SIN(($B162)))-Inputs!$B$5)*(E162-Inputs!$B$5)+((Inputs!$C$69*SIN(($B162))-Inputs!$B$69*COS(($B162)))-Inputs!$B$6)*(F162-Inputs!$B$6))/G162)&lt;0,((((Inputs!$C$69*COS(($B162))+Inputs!$B$69*SIN(($B162)))-Inputs!$B$5)*(E162-Inputs!$B$5)+((Inputs!$C$69*SIN(($B162))-Inputs!$B$69*COS(($B162)))-Inputs!$B$6)*(F162-Inputs!$B$6))/G162)&gt;G162-Inputs!$B$40),999,(ABS((E162-Inputs!$B$5)*((Inputs!$C$69*SIN(($B162))-Inputs!$B$69*COS(($B162)))-Inputs!$B$6)-(F162-Inputs!$B$6)*((Inputs!$C$69*COS(($B162))+Inputs!$B$69*SIN(($B162)))-Inputs!$B$5))/G162)-IF(((((Inputs!$C$69*COS(($B162))+Inputs!$B$69*SIN(($B162)))-Inputs!$B$5)*(E162-Inputs!$B$5)+((Inputs!$C$69*SIN(($B162))-Inputs!$B$69*COS(($B162)))-Inputs!$B$6)*(F162-Inputs!$B$6))/G162)&lt;$B$16,$B$7/2,$B$8/2)-Inputs!$B$39),IF(OR(Inputs!$C$70=0,((((Inputs!$C$70*COS(($B162))+Inputs!$B$70*SIN(($B162)))-Inputs!$B$5)*(E162-Inputs!$B$5)+((Inputs!$C$70*SIN(($B162))-Inputs!$B$70*COS(($B162)))-Inputs!$B$6)*(F162-Inputs!$B$6))/G162)&lt;0,((((Inputs!$C$70*COS(($B162))+Inputs!$B$70*SIN(($B162)))-Inputs!$B$5)*(E162-Inputs!$B$5)+((Inputs!$C$70*SIN(($B162))-Inputs!$B$70*COS(($B162)))-Inputs!$B$6)*(F162-Inputs!$B$6))/G162)&gt;G162-Inputs!$B$40),999,(ABS((E162-Inputs!$B$5)*((Inputs!$C$70*SIN(($B162))-Inputs!$B$70*COS(($B162)))-Inputs!$B$6)-(F162-Inputs!$B$6)*((Inputs!$C$70*COS(($B162))+Inputs!$B$70*SIN(($B162)))-Inputs!$B$5))/G162)-IF(((((Inputs!$C$70*COS(($B162))+Inputs!$B$70*SIN(($B162)))-Inputs!$B$5)*(E162-Inputs!$B$5)+((Inputs!$C$70*SIN(($B162))-Inputs!$B$70*COS(($B162)))-Inputs!$B$6)*(F162-Inputs!$B$6))/G162)&lt;$B$16,$B$7/2,$B$8/2)-Inputs!$B$39),IF(OR(Inputs!$C$71=0,((((Inputs!$C$71*COS(($B162))+Inputs!$B$71*SIN(($B162)))-Inputs!$B$5)*(E162-Inputs!$B$5)+((Inputs!$C$71*SIN(($B162))-Inputs!$B$71*COS(($B162)))-Inputs!$B$6)*(F162-Inputs!$B$6))/G162)&lt;0,((((Inputs!$C$71*COS(($B162))+Inputs!$B$71*SIN(($B162)))-Inputs!$B$5)*(E162-Inputs!$B$5)+((Inputs!$C$71*SIN(($B162))-Inputs!$B$71*COS(($B162)))-Inputs!$B$6)*(F162-Inputs!$B$6))/G162)&gt;G162-Inputs!$B$40),999,(ABS((E162-Inputs!$B$5)*((Inputs!$C$71*SIN(($B162))-Inputs!$B$71*COS(($B162)))-Inputs!$B$6)-(F162-Inputs!$B$6)*((Inputs!$C$71*COS(($B162))+Inputs!$B$71*SIN(($B162)))-Inputs!$B$5))/G162)-IF(((((Inputs!$C$71*COS(($B162))+Inputs!$B$71*SIN(($B162)))-Inputs!$B$5)*(E162-Inputs!$B$5)+((Inputs!$C$71*SIN(($B162))-Inputs!$B$71*COS(($B162)))-Inputs!$B$6)*(F162-Inputs!$B$6))/G162)&lt;$B$16,$B$7/2,$B$8/2)-Inputs!$B$39),IF(OR(Inputs!$C$72=0,((((Inputs!$C$72*COS(($B162))+Inputs!$B$72*SIN(($B162)))-Inputs!$B$5)*(E162-Inputs!$B$5)+((Inputs!$C$72*SIN(($B162))-Inputs!$B$72*COS(($B162)))-Inputs!$B$6)*(F162-Inputs!$B$6))/G162)&lt;0,((((Inputs!$C$72*COS(($B162))+Inputs!$B$72*SIN(($B162)))-Inputs!$B$5)*(E162-Inputs!$B$5)+((Inputs!$C$72*SIN(($B162))-Inputs!$B$72*COS(($B162)))-Inputs!$B$6)*(F162-Inputs!$B$6))/G162)&gt;G162-Inputs!$B$40),999,(ABS((E162-Inputs!$B$5)*((Inputs!$C$72*SIN(($B162))-Inputs!$B$72*COS(($B162)))-Inputs!$B$6)-(F162-Inputs!$B$6)*((Inputs!$C$72*COS(($B162))+Inputs!$B$72*SIN(($B162)))-Inputs!$B$5))/G162)-IF(((((Inputs!$C$72*COS(($B162))+Inputs!$B$72*SIN(($B162)))-Inputs!$B$5)*(E162-Inputs!$B$5)+((Inputs!$C$72*SIN(($B162))-Inputs!$B$72*COS(($B162)))-Inputs!$B$6)*(F162-Inputs!$B$6))/G162)&lt;$B$16,$B$7/2,$B$8/2)-Inputs!$B$39))</f>
        <v>52.60098327</v>
      </c>
      <c r="J162" s="76">
        <f>IF(AND(G162&gt;=$B$14,G162&lt;=$B$15,H162&lt;=Inputs!$B$38,I162&gt;=0,$D162=1),1,0)</f>
        <v>0</v>
      </c>
      <c r="K162" s="29">
        <f>Inputs!$B$11*COS((-$B162))-Inputs!$B$7*SIN((-$B162))</f>
        <v>-16.02210337</v>
      </c>
      <c r="L162" s="29">
        <f>Inputs!$B$11*SIN((-$B162))+Inputs!$B$7*COS((-$B162))</f>
        <v>-221.2045959</v>
      </c>
      <c r="M162" s="29">
        <f>SQRT((K162-Inputs!$B$5)^2+(L162-Inputs!$B$6)^2)</f>
        <v>417.0613287</v>
      </c>
      <c r="N162" s="29">
        <f>MAX(MAX(Inputs!$B$5,(Inputs!$B$5+(K162-Inputs!$B$5)*MIN(1,$B$16/M162)))+$B$7/2,MAX((Inputs!$B$5+(K162-Inputs!$B$5)*MIN(1,$B$16/M162)),K162)+Inputs!$B$41)</f>
        <v>291.8</v>
      </c>
      <c r="O162" s="29">
        <f>MIN(IF(OR(Inputs!$C$68=0,((((Inputs!$C$68*COS((-$B162))+Inputs!$B$68*SIN((-$B162)))-Inputs!$B$5)*(K162-Inputs!$B$5)+((Inputs!$C$68*SIN((-$B162))-Inputs!$B$68*COS((-$B162)))-Inputs!$B$6)*(L162-Inputs!$B$6))/M162)&lt;0,((((Inputs!$C$68*COS((-$B162))+Inputs!$B$68*SIN((-$B162)))-Inputs!$B$5)*(K162-Inputs!$B$5)+((Inputs!$C$68*SIN((-$B162))-Inputs!$B$68*COS((-$B162)))-Inputs!$B$6)*(L162-Inputs!$B$6))/M162)&gt;M162-Inputs!$B$40),999,(ABS((K162-Inputs!$B$5)*((Inputs!$C$68*SIN((-$B162))-Inputs!$B$68*COS((-$B162)))-Inputs!$B$6)-(L162-Inputs!$B$6)*((Inputs!$C$68*COS((-$B162))+Inputs!$B$68*SIN((-$B162)))-Inputs!$B$5))/M162)-IF(((((Inputs!$C$68*COS((-$B162))+Inputs!$B$68*SIN((-$B162)))-Inputs!$B$5)*(K162-Inputs!$B$5)+((Inputs!$C$68*SIN((-$B162))-Inputs!$B$68*COS((-$B162)))-Inputs!$B$6)*(L162-Inputs!$B$6))/M162)&lt;$B$16,$B$7/2,$B$8/2)-Inputs!$B$39),IF(OR(Inputs!$C$69=0,((((Inputs!$C$69*COS((-$B162))+Inputs!$B$69*SIN((-$B162)))-Inputs!$B$5)*(K162-Inputs!$B$5)+((Inputs!$C$69*SIN((-$B162))-Inputs!$B$69*COS((-$B162)))-Inputs!$B$6)*(L162-Inputs!$B$6))/M162)&lt;0,((((Inputs!$C$69*COS((-$B162))+Inputs!$B$69*SIN((-$B162)))-Inputs!$B$5)*(K162-Inputs!$B$5)+((Inputs!$C$69*SIN((-$B162))-Inputs!$B$69*COS((-$B162)))-Inputs!$B$6)*(L162-Inputs!$B$6))/M162)&gt;M162-Inputs!$B$40),999,(ABS((K162-Inputs!$B$5)*((Inputs!$C$69*SIN((-$B162))-Inputs!$B$69*COS((-$B162)))-Inputs!$B$6)-(L162-Inputs!$B$6)*((Inputs!$C$69*COS((-$B162))+Inputs!$B$69*SIN((-$B162)))-Inputs!$B$5))/M162)-IF(((((Inputs!$C$69*COS((-$B162))+Inputs!$B$69*SIN((-$B162)))-Inputs!$B$5)*(K162-Inputs!$B$5)+((Inputs!$C$69*SIN((-$B162))-Inputs!$B$69*COS((-$B162)))-Inputs!$B$6)*(L162-Inputs!$B$6))/M162)&lt;$B$16,$B$7/2,$B$8/2)-Inputs!$B$39),IF(OR(Inputs!$C$70=0,((((Inputs!$C$70*COS((-$B162))+Inputs!$B$70*SIN((-$B162)))-Inputs!$B$5)*(K162-Inputs!$B$5)+((Inputs!$C$70*SIN((-$B162))-Inputs!$B$70*COS((-$B162)))-Inputs!$B$6)*(L162-Inputs!$B$6))/M162)&lt;0,((((Inputs!$C$70*COS((-$B162))+Inputs!$B$70*SIN((-$B162)))-Inputs!$B$5)*(K162-Inputs!$B$5)+((Inputs!$C$70*SIN((-$B162))-Inputs!$B$70*COS((-$B162)))-Inputs!$B$6)*(L162-Inputs!$B$6))/M162)&gt;M162-Inputs!$B$40),999,(ABS((K162-Inputs!$B$5)*((Inputs!$C$70*SIN((-$B162))-Inputs!$B$70*COS((-$B162)))-Inputs!$B$6)-(L162-Inputs!$B$6)*((Inputs!$C$70*COS((-$B162))+Inputs!$B$70*SIN((-$B162)))-Inputs!$B$5))/M162)-IF(((((Inputs!$C$70*COS((-$B162))+Inputs!$B$70*SIN((-$B162)))-Inputs!$B$5)*(K162-Inputs!$B$5)+((Inputs!$C$70*SIN((-$B162))-Inputs!$B$70*COS((-$B162)))-Inputs!$B$6)*(L162-Inputs!$B$6))/M162)&lt;$B$16,$B$7/2,$B$8/2)-Inputs!$B$39),IF(OR(Inputs!$C$71=0,((((Inputs!$C$71*COS((-$B162))+Inputs!$B$71*SIN((-$B162)))-Inputs!$B$5)*(K162-Inputs!$B$5)+((Inputs!$C$71*SIN((-$B162))-Inputs!$B$71*COS((-$B162)))-Inputs!$B$6)*(L162-Inputs!$B$6))/M162)&lt;0,((((Inputs!$C$71*COS((-$B162))+Inputs!$B$71*SIN((-$B162)))-Inputs!$B$5)*(K162-Inputs!$B$5)+((Inputs!$C$71*SIN((-$B162))-Inputs!$B$71*COS((-$B162)))-Inputs!$B$6)*(L162-Inputs!$B$6))/M162)&gt;M162-Inputs!$B$40),999,(ABS((K162-Inputs!$B$5)*((Inputs!$C$71*SIN((-$B162))-Inputs!$B$71*COS((-$B162)))-Inputs!$B$6)-(L162-Inputs!$B$6)*((Inputs!$C$71*COS((-$B162))+Inputs!$B$71*SIN((-$B162)))-Inputs!$B$5))/M162)-IF(((((Inputs!$C$71*COS((-$B162))+Inputs!$B$71*SIN((-$B162)))-Inputs!$B$5)*(K162-Inputs!$B$5)+((Inputs!$C$71*SIN((-$B162))-Inputs!$B$71*COS((-$B162)))-Inputs!$B$6)*(L162-Inputs!$B$6))/M162)&lt;$B$16,$B$7/2,$B$8/2)-Inputs!$B$39),IF(OR(Inputs!$C$72=0,((((Inputs!$C$72*COS((-$B162))+Inputs!$B$72*SIN((-$B162)))-Inputs!$B$5)*(K162-Inputs!$B$5)+((Inputs!$C$72*SIN((-$B162))-Inputs!$B$72*COS((-$B162)))-Inputs!$B$6)*(L162-Inputs!$B$6))/M162)&lt;0,((((Inputs!$C$72*COS((-$B162))+Inputs!$B$72*SIN((-$B162)))-Inputs!$B$5)*(K162-Inputs!$B$5)+((Inputs!$C$72*SIN((-$B162))-Inputs!$B$72*COS((-$B162)))-Inputs!$B$6)*(L162-Inputs!$B$6))/M162)&gt;M162-Inputs!$B$40),999,(ABS((K162-Inputs!$B$5)*((Inputs!$C$72*SIN((-$B162))-Inputs!$B$72*COS((-$B162)))-Inputs!$B$6)-(L162-Inputs!$B$6)*((Inputs!$C$72*COS((-$B162))+Inputs!$B$72*SIN((-$B162)))-Inputs!$B$5))/M162)-IF(((((Inputs!$C$72*COS((-$B162))+Inputs!$B$72*SIN((-$B162)))-Inputs!$B$5)*(K162-Inputs!$B$5)+((Inputs!$C$72*SIN((-$B162))-Inputs!$B$72*COS((-$B162)))-Inputs!$B$6)*(L162-Inputs!$B$6))/M162)&lt;$B$16,$B$7/2,$B$8/2)-Inputs!$B$39))</f>
        <v>12.8126079</v>
      </c>
      <c r="P162" s="76">
        <f>IF(AND(M162&gt;=$B$14,M162&lt;=$B$15,N162&lt;=Inputs!$B$38,O162&gt;=0,$D162=1),1,0)</f>
        <v>0</v>
      </c>
    </row>
    <row r="163" ht="15.75" customHeight="1">
      <c r="A163" s="23">
        <v>30.0</v>
      </c>
      <c r="B163" s="40">
        <f t="shared" si="4"/>
        <v>0.5235987756</v>
      </c>
      <c r="C163" s="29">
        <f>MAX(Inputs!$C$68*COS($B163)+Inputs!$B$68*ABS(SIN($B163)),Inputs!$C$69*COS($B163)+Inputs!$B$69*ABS(SIN($B163)),Inputs!$C$70*COS($B163)+Inputs!$B$70*ABS(SIN($B163)),Inputs!$C$71*COS($B163)+Inputs!$B$71*ABS(SIN($B163)),Inputs!$C$72*COS($B163)+Inputs!$B$72*ABS(SIN($B163)))</f>
        <v>267.7550069</v>
      </c>
      <c r="D163" s="108">
        <f>IF(C163&lt;=Inputs!$B$38,1,0)</f>
        <v>1</v>
      </c>
      <c r="E163" s="29">
        <f>Inputs!$B$11*COS(($B163))-Inputs!$B$7*SIN(($B163))</f>
        <v>183.0128651</v>
      </c>
      <c r="F163" s="29">
        <f>Inputs!$B$11*SIN(($B163))+Inputs!$B$7*COS(($B163))</f>
        <v>-125.2775808</v>
      </c>
      <c r="G163" s="29">
        <f>SQRT((E163-Inputs!$B$5)^2+(F163-Inputs!$B$6)^2)</f>
        <v>235.0260935</v>
      </c>
      <c r="H163" s="29">
        <f>MAX(MAX(Inputs!$B$5,(Inputs!$B$5+(E163-Inputs!$B$5)*MIN(1,$B$16/G163)))+$B$7/2,MAX((Inputs!$B$5+(E163-Inputs!$B$5)*MIN(1,$B$16/G163)),E163)+Inputs!$B$41)</f>
        <v>291.8</v>
      </c>
      <c r="I163" s="29">
        <f>MIN(IF(OR(Inputs!$C$68=0,((((Inputs!$C$68*COS(($B163))+Inputs!$B$68*SIN(($B163)))-Inputs!$B$5)*(E163-Inputs!$B$5)+((Inputs!$C$68*SIN(($B163))-Inputs!$B$68*COS(($B163)))-Inputs!$B$6)*(F163-Inputs!$B$6))/G163)&lt;0,((((Inputs!$C$68*COS(($B163))+Inputs!$B$68*SIN(($B163)))-Inputs!$B$5)*(E163-Inputs!$B$5)+((Inputs!$C$68*SIN(($B163))-Inputs!$B$68*COS(($B163)))-Inputs!$B$6)*(F163-Inputs!$B$6))/G163)&gt;G163-Inputs!$B$40),999,(ABS((E163-Inputs!$B$5)*((Inputs!$C$68*SIN(($B163))-Inputs!$B$68*COS(($B163)))-Inputs!$B$6)-(F163-Inputs!$B$6)*((Inputs!$C$68*COS(($B163))+Inputs!$B$68*SIN(($B163)))-Inputs!$B$5))/G163)-IF(((((Inputs!$C$68*COS(($B163))+Inputs!$B$68*SIN(($B163)))-Inputs!$B$5)*(E163-Inputs!$B$5)+((Inputs!$C$68*SIN(($B163))-Inputs!$B$68*COS(($B163)))-Inputs!$B$6)*(F163-Inputs!$B$6))/G163)&lt;$B$16,$B$7/2,$B$8/2)-Inputs!$B$39),IF(OR(Inputs!$C$69=0,((((Inputs!$C$69*COS(($B163))+Inputs!$B$69*SIN(($B163)))-Inputs!$B$5)*(E163-Inputs!$B$5)+((Inputs!$C$69*SIN(($B163))-Inputs!$B$69*COS(($B163)))-Inputs!$B$6)*(F163-Inputs!$B$6))/G163)&lt;0,((((Inputs!$C$69*COS(($B163))+Inputs!$B$69*SIN(($B163)))-Inputs!$B$5)*(E163-Inputs!$B$5)+((Inputs!$C$69*SIN(($B163))-Inputs!$B$69*COS(($B163)))-Inputs!$B$6)*(F163-Inputs!$B$6))/G163)&gt;G163-Inputs!$B$40),999,(ABS((E163-Inputs!$B$5)*((Inputs!$C$69*SIN(($B163))-Inputs!$B$69*COS(($B163)))-Inputs!$B$6)-(F163-Inputs!$B$6)*((Inputs!$C$69*COS(($B163))+Inputs!$B$69*SIN(($B163)))-Inputs!$B$5))/G163)-IF(((((Inputs!$C$69*COS(($B163))+Inputs!$B$69*SIN(($B163)))-Inputs!$B$5)*(E163-Inputs!$B$5)+((Inputs!$C$69*SIN(($B163))-Inputs!$B$69*COS(($B163)))-Inputs!$B$6)*(F163-Inputs!$B$6))/G163)&lt;$B$16,$B$7/2,$B$8/2)-Inputs!$B$39),IF(OR(Inputs!$C$70=0,((((Inputs!$C$70*COS(($B163))+Inputs!$B$70*SIN(($B163)))-Inputs!$B$5)*(E163-Inputs!$B$5)+((Inputs!$C$70*SIN(($B163))-Inputs!$B$70*COS(($B163)))-Inputs!$B$6)*(F163-Inputs!$B$6))/G163)&lt;0,((((Inputs!$C$70*COS(($B163))+Inputs!$B$70*SIN(($B163)))-Inputs!$B$5)*(E163-Inputs!$B$5)+((Inputs!$C$70*SIN(($B163))-Inputs!$B$70*COS(($B163)))-Inputs!$B$6)*(F163-Inputs!$B$6))/G163)&gt;G163-Inputs!$B$40),999,(ABS((E163-Inputs!$B$5)*((Inputs!$C$70*SIN(($B163))-Inputs!$B$70*COS(($B163)))-Inputs!$B$6)-(F163-Inputs!$B$6)*((Inputs!$C$70*COS(($B163))+Inputs!$B$70*SIN(($B163)))-Inputs!$B$5))/G163)-IF(((((Inputs!$C$70*COS(($B163))+Inputs!$B$70*SIN(($B163)))-Inputs!$B$5)*(E163-Inputs!$B$5)+((Inputs!$C$70*SIN(($B163))-Inputs!$B$70*COS(($B163)))-Inputs!$B$6)*(F163-Inputs!$B$6))/G163)&lt;$B$16,$B$7/2,$B$8/2)-Inputs!$B$39),IF(OR(Inputs!$C$71=0,((((Inputs!$C$71*COS(($B163))+Inputs!$B$71*SIN(($B163)))-Inputs!$B$5)*(E163-Inputs!$B$5)+((Inputs!$C$71*SIN(($B163))-Inputs!$B$71*COS(($B163)))-Inputs!$B$6)*(F163-Inputs!$B$6))/G163)&lt;0,((((Inputs!$C$71*COS(($B163))+Inputs!$B$71*SIN(($B163)))-Inputs!$B$5)*(E163-Inputs!$B$5)+((Inputs!$C$71*SIN(($B163))-Inputs!$B$71*COS(($B163)))-Inputs!$B$6)*(F163-Inputs!$B$6))/G163)&gt;G163-Inputs!$B$40),999,(ABS((E163-Inputs!$B$5)*((Inputs!$C$71*SIN(($B163))-Inputs!$B$71*COS(($B163)))-Inputs!$B$6)-(F163-Inputs!$B$6)*((Inputs!$C$71*COS(($B163))+Inputs!$B$71*SIN(($B163)))-Inputs!$B$5))/G163)-IF(((((Inputs!$C$71*COS(($B163))+Inputs!$B$71*SIN(($B163)))-Inputs!$B$5)*(E163-Inputs!$B$5)+((Inputs!$C$71*SIN(($B163))-Inputs!$B$71*COS(($B163)))-Inputs!$B$6)*(F163-Inputs!$B$6))/G163)&lt;$B$16,$B$7/2,$B$8/2)-Inputs!$B$39),IF(OR(Inputs!$C$72=0,((((Inputs!$C$72*COS(($B163))+Inputs!$B$72*SIN(($B163)))-Inputs!$B$5)*(E163-Inputs!$B$5)+((Inputs!$C$72*SIN(($B163))-Inputs!$B$72*COS(($B163)))-Inputs!$B$6)*(F163-Inputs!$B$6))/G163)&lt;0,((((Inputs!$C$72*COS(($B163))+Inputs!$B$72*SIN(($B163)))-Inputs!$B$5)*(E163-Inputs!$B$5)+((Inputs!$C$72*SIN(($B163))-Inputs!$B$72*COS(($B163)))-Inputs!$B$6)*(F163-Inputs!$B$6))/G163)&gt;G163-Inputs!$B$40),999,(ABS((E163-Inputs!$B$5)*((Inputs!$C$72*SIN(($B163))-Inputs!$B$72*COS(($B163)))-Inputs!$B$6)-(F163-Inputs!$B$6)*((Inputs!$C$72*COS(($B163))+Inputs!$B$72*SIN(($B163)))-Inputs!$B$5))/G163)-IF(((((Inputs!$C$72*COS(($B163))+Inputs!$B$72*SIN(($B163)))-Inputs!$B$5)*(E163-Inputs!$B$5)+((Inputs!$C$72*SIN(($B163))-Inputs!$B$72*COS(($B163)))-Inputs!$B$6)*(F163-Inputs!$B$6))/G163)&lt;$B$16,$B$7/2,$B$8/2)-Inputs!$B$39))</f>
        <v>52.75542569</v>
      </c>
      <c r="J163" s="76">
        <f>IF(AND(G163&gt;=$B$14,G163&lt;=$B$15,H163&lt;=Inputs!$B$38,I163&gt;=0,$D163=1),1,0)</f>
        <v>0</v>
      </c>
      <c r="K163" s="29">
        <f>Inputs!$B$11*COS((-$B163))-Inputs!$B$7*SIN((-$B163))</f>
        <v>-16.98713492</v>
      </c>
      <c r="L163" s="29">
        <f>Inputs!$B$11*SIN((-$B163))+Inputs!$B$7*COS((-$B163))</f>
        <v>-221.1325808</v>
      </c>
      <c r="M163" s="29">
        <f>SQRT((K163-Inputs!$B$5)^2+(L163-Inputs!$B$6)^2)</f>
        <v>417.6221553</v>
      </c>
      <c r="N163" s="29">
        <f>MAX(MAX(Inputs!$B$5,(Inputs!$B$5+(K163-Inputs!$B$5)*MIN(1,$B$16/M163)))+$B$7/2,MAX((Inputs!$B$5+(K163-Inputs!$B$5)*MIN(1,$B$16/M163)),K163)+Inputs!$B$41)</f>
        <v>291.8</v>
      </c>
      <c r="O163" s="29">
        <f>MIN(IF(OR(Inputs!$C$68=0,((((Inputs!$C$68*COS((-$B163))+Inputs!$B$68*SIN((-$B163)))-Inputs!$B$5)*(K163-Inputs!$B$5)+((Inputs!$C$68*SIN((-$B163))-Inputs!$B$68*COS((-$B163)))-Inputs!$B$6)*(L163-Inputs!$B$6))/M163)&lt;0,((((Inputs!$C$68*COS((-$B163))+Inputs!$B$68*SIN((-$B163)))-Inputs!$B$5)*(K163-Inputs!$B$5)+((Inputs!$C$68*SIN((-$B163))-Inputs!$B$68*COS((-$B163)))-Inputs!$B$6)*(L163-Inputs!$B$6))/M163)&gt;M163-Inputs!$B$40),999,(ABS((K163-Inputs!$B$5)*((Inputs!$C$68*SIN((-$B163))-Inputs!$B$68*COS((-$B163)))-Inputs!$B$6)-(L163-Inputs!$B$6)*((Inputs!$C$68*COS((-$B163))+Inputs!$B$68*SIN((-$B163)))-Inputs!$B$5))/M163)-IF(((((Inputs!$C$68*COS((-$B163))+Inputs!$B$68*SIN((-$B163)))-Inputs!$B$5)*(K163-Inputs!$B$5)+((Inputs!$C$68*SIN((-$B163))-Inputs!$B$68*COS((-$B163)))-Inputs!$B$6)*(L163-Inputs!$B$6))/M163)&lt;$B$16,$B$7/2,$B$8/2)-Inputs!$B$39),IF(OR(Inputs!$C$69=0,((((Inputs!$C$69*COS((-$B163))+Inputs!$B$69*SIN((-$B163)))-Inputs!$B$5)*(K163-Inputs!$B$5)+((Inputs!$C$69*SIN((-$B163))-Inputs!$B$69*COS((-$B163)))-Inputs!$B$6)*(L163-Inputs!$B$6))/M163)&lt;0,((((Inputs!$C$69*COS((-$B163))+Inputs!$B$69*SIN((-$B163)))-Inputs!$B$5)*(K163-Inputs!$B$5)+((Inputs!$C$69*SIN((-$B163))-Inputs!$B$69*COS((-$B163)))-Inputs!$B$6)*(L163-Inputs!$B$6))/M163)&gt;M163-Inputs!$B$40),999,(ABS((K163-Inputs!$B$5)*((Inputs!$C$69*SIN((-$B163))-Inputs!$B$69*COS((-$B163)))-Inputs!$B$6)-(L163-Inputs!$B$6)*((Inputs!$C$69*COS((-$B163))+Inputs!$B$69*SIN((-$B163)))-Inputs!$B$5))/M163)-IF(((((Inputs!$C$69*COS((-$B163))+Inputs!$B$69*SIN((-$B163)))-Inputs!$B$5)*(K163-Inputs!$B$5)+((Inputs!$C$69*SIN((-$B163))-Inputs!$B$69*COS((-$B163)))-Inputs!$B$6)*(L163-Inputs!$B$6))/M163)&lt;$B$16,$B$7/2,$B$8/2)-Inputs!$B$39),IF(OR(Inputs!$C$70=0,((((Inputs!$C$70*COS((-$B163))+Inputs!$B$70*SIN((-$B163)))-Inputs!$B$5)*(K163-Inputs!$B$5)+((Inputs!$C$70*SIN((-$B163))-Inputs!$B$70*COS((-$B163)))-Inputs!$B$6)*(L163-Inputs!$B$6))/M163)&lt;0,((((Inputs!$C$70*COS((-$B163))+Inputs!$B$70*SIN((-$B163)))-Inputs!$B$5)*(K163-Inputs!$B$5)+((Inputs!$C$70*SIN((-$B163))-Inputs!$B$70*COS((-$B163)))-Inputs!$B$6)*(L163-Inputs!$B$6))/M163)&gt;M163-Inputs!$B$40),999,(ABS((K163-Inputs!$B$5)*((Inputs!$C$70*SIN((-$B163))-Inputs!$B$70*COS((-$B163)))-Inputs!$B$6)-(L163-Inputs!$B$6)*((Inputs!$C$70*COS((-$B163))+Inputs!$B$70*SIN((-$B163)))-Inputs!$B$5))/M163)-IF(((((Inputs!$C$70*COS((-$B163))+Inputs!$B$70*SIN((-$B163)))-Inputs!$B$5)*(K163-Inputs!$B$5)+((Inputs!$C$70*SIN((-$B163))-Inputs!$B$70*COS((-$B163)))-Inputs!$B$6)*(L163-Inputs!$B$6))/M163)&lt;$B$16,$B$7/2,$B$8/2)-Inputs!$B$39),IF(OR(Inputs!$C$71=0,((((Inputs!$C$71*COS((-$B163))+Inputs!$B$71*SIN((-$B163)))-Inputs!$B$5)*(K163-Inputs!$B$5)+((Inputs!$C$71*SIN((-$B163))-Inputs!$B$71*COS((-$B163)))-Inputs!$B$6)*(L163-Inputs!$B$6))/M163)&lt;0,((((Inputs!$C$71*COS((-$B163))+Inputs!$B$71*SIN((-$B163)))-Inputs!$B$5)*(K163-Inputs!$B$5)+((Inputs!$C$71*SIN((-$B163))-Inputs!$B$71*COS((-$B163)))-Inputs!$B$6)*(L163-Inputs!$B$6))/M163)&gt;M163-Inputs!$B$40),999,(ABS((K163-Inputs!$B$5)*((Inputs!$C$71*SIN((-$B163))-Inputs!$B$71*COS((-$B163)))-Inputs!$B$6)-(L163-Inputs!$B$6)*((Inputs!$C$71*COS((-$B163))+Inputs!$B$71*SIN((-$B163)))-Inputs!$B$5))/M163)-IF(((((Inputs!$C$71*COS((-$B163))+Inputs!$B$71*SIN((-$B163)))-Inputs!$B$5)*(K163-Inputs!$B$5)+((Inputs!$C$71*SIN((-$B163))-Inputs!$B$71*COS((-$B163)))-Inputs!$B$6)*(L163-Inputs!$B$6))/M163)&lt;$B$16,$B$7/2,$B$8/2)-Inputs!$B$39),IF(OR(Inputs!$C$72=0,((((Inputs!$C$72*COS((-$B163))+Inputs!$B$72*SIN((-$B163)))-Inputs!$B$5)*(K163-Inputs!$B$5)+((Inputs!$C$72*SIN((-$B163))-Inputs!$B$72*COS((-$B163)))-Inputs!$B$6)*(L163-Inputs!$B$6))/M163)&lt;0,((((Inputs!$C$72*COS((-$B163))+Inputs!$B$72*SIN((-$B163)))-Inputs!$B$5)*(K163-Inputs!$B$5)+((Inputs!$C$72*SIN((-$B163))-Inputs!$B$72*COS((-$B163)))-Inputs!$B$6)*(L163-Inputs!$B$6))/M163)&gt;M163-Inputs!$B$40),999,(ABS((K163-Inputs!$B$5)*((Inputs!$C$72*SIN((-$B163))-Inputs!$B$72*COS((-$B163)))-Inputs!$B$6)-(L163-Inputs!$B$6)*((Inputs!$C$72*COS((-$B163))+Inputs!$B$72*SIN((-$B163)))-Inputs!$B$5))/M163)-IF(((((Inputs!$C$72*COS((-$B163))+Inputs!$B$72*SIN((-$B163)))-Inputs!$B$5)*(K163-Inputs!$B$5)+((Inputs!$C$72*SIN((-$B163))-Inputs!$B$72*COS((-$B163)))-Inputs!$B$6)*(L163-Inputs!$B$6))/M163)&lt;$B$16,$B$7/2,$B$8/2)-Inputs!$B$39))</f>
        <v>12.47429165</v>
      </c>
      <c r="P163" s="76">
        <f>IF(AND(M163&gt;=$B$14,M163&lt;=$B$15,N163&lt;=Inputs!$B$38,O163&gt;=0,$D163=1),1,0)</f>
        <v>0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0:D20"/>
    <mergeCell ref="B22:D22"/>
  </mergeCells>
  <conditionalFormatting sqref="D26:D34">
    <cfRule type="expression" dxfId="0" priority="1">
      <formula>OR(D26="OK",D26="PASS")</formula>
    </cfRule>
  </conditionalFormatting>
  <conditionalFormatting sqref="D26:D34">
    <cfRule type="expression" dxfId="1" priority="2">
      <formula>OR(D26="FAIL",D26="LOW",D26="SLOW",D26="NO FIT",D26="TOO WIDE",D26="NO")</formula>
    </cfRule>
  </conditionalFormatting>
  <conditionalFormatting sqref="D43:D163">
    <cfRule type="expression" dxfId="0" priority="3">
      <formula>D43=1</formula>
    </cfRule>
  </conditionalFormatting>
  <conditionalFormatting sqref="D43:D163">
    <cfRule type="expression" dxfId="1" priority="4">
      <formula>D43=0</formula>
    </cfRule>
  </conditionalFormatting>
  <conditionalFormatting sqref="J43:J163">
    <cfRule type="expression" dxfId="0" priority="5">
      <formula>J43=1</formula>
    </cfRule>
  </conditionalFormatting>
  <conditionalFormatting sqref="J43:J163">
    <cfRule type="expression" dxfId="1" priority="6">
      <formula>J43=0</formula>
    </cfRule>
  </conditionalFormatting>
  <conditionalFormatting sqref="P43:P163">
    <cfRule type="expression" dxfId="0" priority="7">
      <formula>P43=1</formula>
    </cfRule>
  </conditionalFormatting>
  <conditionalFormatting sqref="P43:P163">
    <cfRule type="expression" dxfId="1" priority="8">
      <formula>P43=0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322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0.5"/>
    <col customWidth="1" min="2" max="2" width="26.88"/>
    <col customWidth="1" min="3" max="3" width="11.25"/>
    <col customWidth="1" min="4" max="4" width="17.88"/>
    <col customWidth="1" min="5" max="5" width="12.25"/>
    <col customWidth="1" min="6" max="6" width="13.38"/>
    <col customWidth="1" min="7" max="7" width="65.0"/>
    <col customWidth="1" min="8" max="9" width="14.0"/>
    <col customWidth="1" min="10" max="10" width="8.63"/>
    <col customWidth="1" min="11" max="11" width="30.0"/>
    <col customWidth="1" min="12" max="12" width="8.63"/>
  </cols>
  <sheetData>
    <row r="1" ht="15.75" customHeight="1">
      <c r="A1" s="12" t="s">
        <v>259</v>
      </c>
    </row>
    <row r="2" ht="15.75" customHeight="1">
      <c r="A2" s="2" t="s">
        <v>260</v>
      </c>
    </row>
    <row r="3" ht="15.75" customHeight="1">
      <c r="K3" s="4" t="s">
        <v>26</v>
      </c>
    </row>
    <row r="4" ht="15.75" customHeight="1">
      <c r="A4" s="5" t="s">
        <v>261</v>
      </c>
      <c r="B4" s="6"/>
      <c r="C4" s="6"/>
      <c r="D4" s="6"/>
      <c r="E4" s="6"/>
      <c r="F4" s="6"/>
      <c r="G4" s="6"/>
      <c r="K4" s="15" t="str">
        <f>A23</f>
        <v>Peak force vs holding × margin</v>
      </c>
      <c r="L4" s="72">
        <f>IF(ISNUMBER(E23),MIN(E23,5),0)</f>
        <v>0.9030231614</v>
      </c>
    </row>
    <row r="5" ht="15.75" customHeight="1">
      <c r="A5" s="3" t="s">
        <v>262</v>
      </c>
      <c r="B5" s="3" t="s">
        <v>3</v>
      </c>
      <c r="C5" s="3" t="s">
        <v>4</v>
      </c>
      <c r="D5" s="3" t="s">
        <v>263</v>
      </c>
      <c r="E5" s="3" t="s">
        <v>264</v>
      </c>
      <c r="F5" s="3" t="s">
        <v>216</v>
      </c>
      <c r="G5" s="3" t="s">
        <v>194</v>
      </c>
      <c r="K5" s="15" t="str">
        <f>A25</f>
        <v>Continuous force vs running × margin</v>
      </c>
      <c r="L5" s="72">
        <f>IF(ISNUMBER(E25),MIN(E25,5),0)</f>
        <v>0.8806693386</v>
      </c>
    </row>
    <row r="6" ht="15.75" customHeight="1">
      <c r="A6" s="9" t="s">
        <v>265</v>
      </c>
      <c r="B6" s="70">
        <f t="array" ref="B6">INDEX(Actuators!$C$2:$C$20,MATCH(Inputs!$B$32,Actuators!$A$2:$A$20,0))*1000</f>
        <v>6010</v>
      </c>
      <c r="C6" s="9" t="s">
        <v>36</v>
      </c>
      <c r="D6" s="70"/>
      <c r="E6" s="39"/>
      <c r="F6" s="69"/>
      <c r="G6" s="9"/>
      <c r="K6" s="15" t="str">
        <f t="shared" ref="K6:K9" si="1">A34</f>
        <v>Static radial rating vs P</v>
      </c>
      <c r="L6" s="72">
        <f t="shared" ref="L6:L9" si="2">IF(ISNUMBER(E34),MIN(E34,5),0)</f>
        <v>2.216860788</v>
      </c>
    </row>
    <row r="7" ht="15.75" customHeight="1">
      <c r="A7" s="9" t="s">
        <v>266</v>
      </c>
      <c r="B7" s="70">
        <f>Loads!B35</f>
        <v>3158.132871</v>
      </c>
      <c r="C7" s="9" t="s">
        <v>36</v>
      </c>
      <c r="D7" s="70"/>
      <c r="E7" s="39"/>
      <c r="F7" s="69"/>
      <c r="G7" s="9"/>
      <c r="K7" s="15" t="str">
        <f t="shared" si="1"/>
        <v>Shank thread tension, P / stress area</v>
      </c>
      <c r="L7" s="72">
        <f t="shared" si="2"/>
        <v>5</v>
      </c>
    </row>
    <row r="8" ht="15.75" customHeight="1">
      <c r="A8" s="9" t="s">
        <v>138</v>
      </c>
      <c r="B8" s="70">
        <f>Loads!B34</f>
        <v>1063.451165</v>
      </c>
      <c r="C8" s="9" t="s">
        <v>36</v>
      </c>
      <c r="D8" s="70"/>
      <c r="E8" s="39"/>
      <c r="F8" s="69"/>
      <c r="G8" s="9"/>
      <c r="K8" s="15" t="str">
        <f t="shared" si="1"/>
        <v>Min thread engagement vs rod thread depth</v>
      </c>
      <c r="L8" s="72">
        <f t="shared" si="2"/>
        <v>0.85</v>
      </c>
    </row>
    <row r="9" ht="15.75" customHeight="1">
      <c r="A9" s="9" t="s">
        <v>267</v>
      </c>
      <c r="B9" s="70">
        <f>MAX(B6:B8)</f>
        <v>6010</v>
      </c>
      <c r="C9" s="9" t="s">
        <v>36</v>
      </c>
      <c r="D9" s="70"/>
      <c r="E9" s="39"/>
      <c r="F9" s="69"/>
      <c r="G9" s="9"/>
      <c r="K9" s="15" t="str">
        <f t="shared" si="1"/>
        <v>Tilt available vs per-axis gimbal angle</v>
      </c>
      <c r="L9" s="72">
        <f t="shared" si="2"/>
        <v>0</v>
      </c>
    </row>
    <row r="10" ht="15.75" customHeight="1">
      <c r="A10" s="60" t="s">
        <v>268</v>
      </c>
      <c r="B10" s="73">
        <f>B9*Inputs!$B$44</f>
        <v>9015</v>
      </c>
      <c r="C10" s="9" t="s">
        <v>36</v>
      </c>
      <c r="D10" s="70"/>
      <c r="E10" s="39"/>
      <c r="F10" s="69"/>
      <c r="G10" s="9"/>
      <c r="K10" s="15" t="str">
        <f t="shared" ref="K10:K11" si="3">A43</f>
        <v>Double shear, P / (2·πd²/4)</v>
      </c>
      <c r="L10" s="72">
        <f t="shared" ref="L10:L11" si="4">IF(ISNUMBER(E43),MIN(E43,5),0)</f>
        <v>5</v>
      </c>
    </row>
    <row r="11" ht="15.75" customHeight="1">
      <c r="A11" s="9" t="s">
        <v>269</v>
      </c>
      <c r="B11" s="70">
        <f>B10/2</f>
        <v>4507.5</v>
      </c>
      <c r="C11" s="9" t="s">
        <v>36</v>
      </c>
      <c r="D11" s="70"/>
      <c r="E11" s="39"/>
      <c r="F11" s="69"/>
      <c r="G11" s="9"/>
      <c r="K11" s="15" t="str">
        <f t="shared" si="3"/>
        <v>Bending, M = (P/2)(t/2 + g/4), σ = 32M/(πd³)</v>
      </c>
      <c r="L11" s="72">
        <f t="shared" si="4"/>
        <v>4.700875302</v>
      </c>
    </row>
    <row r="12" ht="15.75" customHeight="1">
      <c r="K12" s="15" t="str">
        <f t="shared" ref="K12:K15" si="5">A52</f>
        <v>Bearing, (P/2) / (d·t)</v>
      </c>
      <c r="L12" s="72">
        <f t="shared" ref="L12:L15" si="6">IF(ISNUMBER(E52),MIN(E52,5),0)</f>
        <v>4.621630616</v>
      </c>
    </row>
    <row r="13" ht="15.75" customHeight="1">
      <c r="A13" s="5" t="s">
        <v>270</v>
      </c>
      <c r="B13" s="6"/>
      <c r="C13" s="6"/>
      <c r="D13" s="6"/>
      <c r="E13" s="6"/>
      <c r="F13" s="6"/>
      <c r="G13" s="6"/>
      <c r="K13" s="15" t="str">
        <f t="shared" si="5"/>
        <v>Shear-out, (P/2) / (2·a·t)</v>
      </c>
      <c r="L13" s="72">
        <f t="shared" si="6"/>
        <v>3.000015973</v>
      </c>
    </row>
    <row r="14" ht="15.75" customHeight="1">
      <c r="A14" s="3" t="s">
        <v>262</v>
      </c>
      <c r="B14" s="3" t="s">
        <v>3</v>
      </c>
      <c r="C14" s="3" t="s">
        <v>4</v>
      </c>
      <c r="D14" s="3" t="s">
        <v>263</v>
      </c>
      <c r="E14" s="3" t="s">
        <v>264</v>
      </c>
      <c r="F14" s="3" t="s">
        <v>216</v>
      </c>
      <c r="G14" s="3" t="s">
        <v>194</v>
      </c>
      <c r="K14" s="15" t="str">
        <f t="shared" si="5"/>
        <v>Net section, (P/2) / ((w − d)·t)</v>
      </c>
      <c r="L14" s="72">
        <f t="shared" si="6"/>
        <v>5</v>
      </c>
    </row>
    <row r="15" ht="15.75" customHeight="1">
      <c r="A15" s="9" t="s">
        <v>271</v>
      </c>
      <c r="B15" s="74" t="str">
        <f>Inputs!$B$32</f>
        <v>IMA33-RN04 (1-stack)</v>
      </c>
      <c r="C15" s="9"/>
      <c r="D15" s="74"/>
      <c r="E15" s="39"/>
      <c r="F15" s="69"/>
      <c r="G15" s="9"/>
      <c r="K15" s="15" t="str">
        <f t="shared" si="5"/>
        <v>Root bending, 6·(P/2)·h / (t·L²)</v>
      </c>
      <c r="L15" s="72">
        <f t="shared" si="6"/>
        <v>3.03655574</v>
      </c>
    </row>
    <row r="16" ht="15.75" customHeight="1">
      <c r="A16" s="9" t="s">
        <v>273</v>
      </c>
      <c r="B16" s="25">
        <f>Validation!B11</f>
        <v>80.38951554</v>
      </c>
      <c r="C16" s="9" t="s">
        <v>18</v>
      </c>
      <c r="D16" s="25"/>
      <c r="E16" s="39"/>
      <c r="F16" s="69"/>
      <c r="G16" s="9" t="s">
        <v>274</v>
      </c>
      <c r="K16" s="15" t="str">
        <f>A57</f>
        <v>Rod eye head clearance to pad</v>
      </c>
      <c r="L16" s="72">
        <f>IF(ISNUMBER(E57),MIN(E57,5),0)</f>
        <v>3</v>
      </c>
    </row>
    <row r="17" ht="15.75" customHeight="1">
      <c r="A17" s="9" t="s">
        <v>97</v>
      </c>
      <c r="B17" s="25">
        <f>Validation!B12</f>
        <v>297.0895155</v>
      </c>
      <c r="C17" s="9" t="s">
        <v>18</v>
      </c>
      <c r="D17" s="25"/>
      <c r="E17" s="39"/>
      <c r="F17" s="69"/>
      <c r="G17" s="9"/>
      <c r="K17" s="15" t="str">
        <f t="shared" ref="K17:K20" si="7">A66</f>
        <v>Rear pin double shear</v>
      </c>
      <c r="L17" s="72">
        <f t="shared" ref="L17:L20" si="8">IF(ISNUMBER(E66),MIN(E66,5),0)</f>
        <v>5</v>
      </c>
    </row>
    <row r="18" ht="15.75" customHeight="1">
      <c r="A18" s="9" t="s">
        <v>113</v>
      </c>
      <c r="B18" s="25">
        <f>Validation!B13</f>
        <v>377.4790311</v>
      </c>
      <c r="C18" s="9" t="s">
        <v>18</v>
      </c>
      <c r="D18" s="25"/>
      <c r="E18" s="39"/>
      <c r="F18" s="69"/>
      <c r="G18" s="9"/>
      <c r="K18" s="15" t="str">
        <f t="shared" si="7"/>
        <v>Tongue bearing, P / (d·t)</v>
      </c>
      <c r="L18" s="72">
        <f t="shared" si="8"/>
        <v>3.972379368</v>
      </c>
    </row>
    <row r="19" ht="15.75" customHeight="1">
      <c r="A19" s="9" t="s">
        <v>275</v>
      </c>
      <c r="B19" s="25">
        <f>Validation!B10</f>
        <v>337.2842733</v>
      </c>
      <c r="C19" s="9" t="s">
        <v>18</v>
      </c>
      <c r="D19" s="25"/>
      <c r="E19" s="39"/>
      <c r="F19" s="69"/>
      <c r="G19" s="9"/>
      <c r="K19" s="15" t="str">
        <f t="shared" si="7"/>
        <v>Tongue shear-out, P / (2·a·t)</v>
      </c>
      <c r="L19" s="72">
        <f t="shared" si="8"/>
        <v>1.390885746</v>
      </c>
    </row>
    <row r="20" ht="15.75" customHeight="1">
      <c r="A20" s="9" t="s">
        <v>56</v>
      </c>
      <c r="B20" s="25">
        <f t="array" ref="B20">INDEX(Actuators!$J$2:$J$20,MATCH(Inputs!$B$32,Actuators!$A$2:$A$20,0))</f>
        <v>83.6</v>
      </c>
      <c r="C20" s="9" t="s">
        <v>18</v>
      </c>
      <c r="D20" s="25"/>
      <c r="E20" s="39"/>
      <c r="F20" s="69"/>
      <c r="G20" s="9"/>
      <c r="K20" s="15" t="str">
        <f t="shared" si="7"/>
        <v>Tongue net section, P / ((w − d)·t)</v>
      </c>
      <c r="L20" s="72">
        <f t="shared" si="8"/>
        <v>3.143649473</v>
      </c>
    </row>
    <row r="21" ht="15.75" customHeight="1">
      <c r="A21" s="9" t="s">
        <v>277</v>
      </c>
      <c r="B21" s="74" t="str">
        <f t="array" ref="B21">INDEX(Actuators!$M$2:$M$20,MATCH(Inputs!$B$32,Actuators!$A$2:$A$20,0))&amp;" mm / "&amp;INDEX(Actuators!$N$2:$N$20,MATCH(Inputs!$B$32,Actuators!$A$2:$A$20,0))</f>
        <v>30.13 mm / M12x1.25</v>
      </c>
      <c r="C21" s="9"/>
      <c r="D21" s="74"/>
      <c r="E21" s="39"/>
      <c r="F21" s="69"/>
      <c r="G21" s="9"/>
    </row>
    <row r="22" ht="15.75" customHeight="1">
      <c r="A22" s="9" t="s">
        <v>279</v>
      </c>
      <c r="B22" s="25">
        <f t="array" ref="B22">INDEX(Actuators!$O$2:$O$20,MATCH(Inputs!$B$32,Actuators!$A$2:$A$20,0))</f>
        <v>22.2</v>
      </c>
      <c r="C22" s="9" t="s">
        <v>18</v>
      </c>
      <c r="D22" s="25"/>
      <c r="E22" s="39"/>
      <c r="F22" s="69"/>
      <c r="G22" s="9"/>
    </row>
    <row r="23" ht="15.75" customHeight="1">
      <c r="A23" s="9" t="s">
        <v>280</v>
      </c>
      <c r="B23" s="70">
        <f>$B$6</f>
        <v>6010</v>
      </c>
      <c r="C23" s="9" t="s">
        <v>36</v>
      </c>
      <c r="D23" s="70">
        <f>$B$7</f>
        <v>3158.132871</v>
      </c>
      <c r="E23" s="39">
        <f>$B$6/$B$7-1</f>
        <v>0.9030231614</v>
      </c>
      <c r="F23" s="69" t="str">
        <f>IF(E23&gt;=0,"OK","FAIL")</f>
        <v>OK</v>
      </c>
      <c r="G23" s="9" t="s">
        <v>282</v>
      </c>
    </row>
    <row r="24" ht="15.75" customHeight="1">
      <c r="A24" s="9" t="s">
        <v>283</v>
      </c>
      <c r="B24" s="74" t="str">
        <f>Validation!D34</f>
        <v>PASS</v>
      </c>
      <c r="C24" s="9"/>
      <c r="D24" s="74" t="s">
        <v>284</v>
      </c>
      <c r="E24" s="39"/>
      <c r="F24" s="69" t="str">
        <f>IF(B24="PASS","OK","FAIL")</f>
        <v>OK</v>
      </c>
      <c r="G24" s="9" t="s">
        <v>285</v>
      </c>
    </row>
    <row r="25" ht="15.75" customHeight="1">
      <c r="A25" s="9" t="s">
        <v>286</v>
      </c>
      <c r="B25" s="70">
        <f t="array" ref="B25">INDEX(Actuators!$B$2:$B$20,MATCH(Inputs!$B$32,Actuators!$A$2:$A$20,0))*1000</f>
        <v>2000</v>
      </c>
      <c r="C25" s="9" t="s">
        <v>36</v>
      </c>
      <c r="D25" s="70">
        <f>$B$8</f>
        <v>1063.451165</v>
      </c>
      <c r="E25" s="39">
        <f>B25/D25-1</f>
        <v>0.8806693386</v>
      </c>
      <c r="F25" s="69" t="str">
        <f>IF(E25&gt;=0,"OK","FAIL")</f>
        <v>OK</v>
      </c>
      <c r="G25" s="9"/>
    </row>
    <row r="26" ht="15.75" customHeight="1"/>
    <row r="27" ht="15.75" customHeight="1">
      <c r="A27" s="5" t="s">
        <v>288</v>
      </c>
      <c r="B27" s="6"/>
      <c r="C27" s="6"/>
      <c r="D27" s="6"/>
      <c r="E27" s="6"/>
      <c r="F27" s="6"/>
      <c r="G27" s="6"/>
    </row>
    <row r="28" ht="15.75" customHeight="1">
      <c r="A28" s="3" t="s">
        <v>262</v>
      </c>
      <c r="B28" s="3" t="s">
        <v>3</v>
      </c>
      <c r="C28" s="3" t="s">
        <v>4</v>
      </c>
      <c r="D28" s="3" t="s">
        <v>263</v>
      </c>
      <c r="E28" s="3" t="s">
        <v>264</v>
      </c>
      <c r="F28" s="3" t="s">
        <v>216</v>
      </c>
      <c r="G28" s="3" t="s">
        <v>194</v>
      </c>
    </row>
    <row r="29" ht="15.75" customHeight="1">
      <c r="A29" s="9" t="s">
        <v>289</v>
      </c>
      <c r="B29" s="74" t="str">
        <f>Inputs!$B$43</f>
        <v>Tolomatic SRE (IMA33)</v>
      </c>
      <c r="C29" s="9"/>
      <c r="D29" s="74"/>
      <c r="E29" s="39"/>
      <c r="F29" s="69"/>
      <c r="G29" s="9"/>
    </row>
    <row r="30" ht="15.75" customHeight="1">
      <c r="A30" s="9" t="s">
        <v>290</v>
      </c>
      <c r="B30" s="39">
        <f t="array" ref="B30">INDEX('CAD dims'!$B$106:$B$110,MATCH(Inputs!$B$43,'CAD dims'!$A$106:$A$110,0))</f>
        <v>16</v>
      </c>
      <c r="C30" s="9" t="s">
        <v>18</v>
      </c>
      <c r="D30" s="39"/>
      <c r="E30" s="39"/>
      <c r="F30" s="69"/>
      <c r="G30" s="9"/>
    </row>
    <row r="31" ht="15.75" customHeight="1">
      <c r="A31" s="9" t="s">
        <v>292</v>
      </c>
      <c r="B31" s="39">
        <f t="array" ref="B31">INDEX('CAD dims'!$C$106:$C$110,MATCH(Inputs!$B$43,'CAD dims'!$A$106:$A$110,0))</f>
        <v>21</v>
      </c>
      <c r="C31" s="9" t="s">
        <v>18</v>
      </c>
      <c r="D31" s="39"/>
      <c r="E31" s="39"/>
      <c r="F31" s="69"/>
      <c r="G31" s="9"/>
    </row>
    <row r="32" ht="15.75" customHeight="1">
      <c r="A32" s="9" t="s">
        <v>312</v>
      </c>
      <c r="B32" s="39">
        <f t="array" ref="B32">INDEX('CAD dims'!$D$106:$D$110,MATCH(Inputs!$B$43,'CAD dims'!$A$106:$A$110,0))</f>
        <v>15</v>
      </c>
      <c r="C32" s="9" t="s">
        <v>18</v>
      </c>
      <c r="D32" s="39"/>
      <c r="E32" s="39"/>
      <c r="F32" s="69"/>
      <c r="G32" s="9"/>
    </row>
    <row r="33" ht="15.75" customHeight="1">
      <c r="A33" s="9" t="s">
        <v>327</v>
      </c>
      <c r="B33" s="25">
        <f t="array" ref="B33">INDEX('CAD dims'!$E$106:$E$110,MATCH(Inputs!$B$43,'CAD dims'!$A$106:$A$110,0))</f>
        <v>42</v>
      </c>
      <c r="C33" s="9" t="s">
        <v>18</v>
      </c>
      <c r="D33" s="25"/>
      <c r="E33" s="39"/>
      <c r="F33" s="69"/>
      <c r="G33" s="9"/>
    </row>
    <row r="34" ht="15.75" customHeight="1">
      <c r="A34" s="9" t="s">
        <v>331</v>
      </c>
      <c r="B34" s="70">
        <f t="array" ref="B34">IF(ISNUMBER(INDEX('CAD dims'!$I$106:$I$110,MATCH(Inputs!$B$43,'CAD dims'!$A$106:$A$110,0))),INDEX('CAD dims'!$I$106:$I$110,MATCH(Inputs!$B$43,'CAD dims'!$A$106:$A$110,0))*1000,"not published")</f>
        <v>29000</v>
      </c>
      <c r="C34" s="9" t="s">
        <v>36</v>
      </c>
      <c r="D34" s="70">
        <f>$B$10</f>
        <v>9015</v>
      </c>
      <c r="E34" s="39">
        <f>IF(ISNUMBER(B34),B34/D34-1,"")</f>
        <v>2.216860788</v>
      </c>
      <c r="F34" s="69" t="str">
        <f>IF(ISNUMBER(B34),IF(E34&gt;=0,"OK","FAIL"),"CONFIRM")</f>
        <v>OK</v>
      </c>
      <c r="G34" s="9" t="s">
        <v>333</v>
      </c>
    </row>
    <row r="35" ht="15.75" customHeight="1">
      <c r="A35" s="9" t="s">
        <v>334</v>
      </c>
      <c r="B35" s="25">
        <f t="array" ref="B35">$B$10/INDEX('CAD dims'!$H$106:$H$110,MATCH(Inputs!$B$43,'CAD dims'!$A$106:$A$110,0))</f>
        <v>97.88273616</v>
      </c>
      <c r="C35" s="9" t="s">
        <v>158</v>
      </c>
      <c r="D35" s="25">
        <f>Inputs!$B$55</f>
        <v>640</v>
      </c>
      <c r="E35" s="39">
        <f t="shared" ref="E35:E36" si="9">D35/B35-1</f>
        <v>5.53843594</v>
      </c>
      <c r="F35" s="69" t="str">
        <f t="shared" ref="F35:F37" si="10">IF(E35&gt;=0,"OK","FAIL")</f>
        <v>OK</v>
      </c>
      <c r="G35" s="9" t="str">
        <f t="array" ref="G35">"Thread "&amp;INDEX('CAD dims'!$G$106:$G$110,MATCH(Inputs!$B$43,'CAD dims'!$A$106:$A$110,0))</f>
        <v>Thread M12x1.25</v>
      </c>
    </row>
    <row r="36" ht="15.75" customHeight="1">
      <c r="A36" s="9" t="s">
        <v>335</v>
      </c>
      <c r="B36" s="25">
        <f t="array" ref="B36">Inputs!$B$56*VALUE(MID(INDEX('CAD dims'!$G$106:$G$110,MATCH(Inputs!$B$43,'CAD dims'!$A$106:$A$110,0)),2,FIND("x",INDEX('CAD dims'!$G$106:$G$110,MATCH(Inputs!$B$43,'CAD dims'!$A$106:$A$110,0)))-2))</f>
        <v>12</v>
      </c>
      <c r="C36" s="9" t="s">
        <v>18</v>
      </c>
      <c r="D36" s="25">
        <f>$B$22</f>
        <v>22.2</v>
      </c>
      <c r="E36" s="39">
        <f t="shared" si="9"/>
        <v>0.85</v>
      </c>
      <c r="F36" s="69" t="str">
        <f t="shared" si="10"/>
        <v>OK</v>
      </c>
      <c r="G36" s="9" t="s">
        <v>337</v>
      </c>
    </row>
    <row r="37" ht="15.75" customHeight="1">
      <c r="A37" s="9" t="s">
        <v>338</v>
      </c>
      <c r="B37" s="25">
        <f t="array" ref="B37">INDEX('CAD dims'!$F$106:$F$110,MATCH(Inputs!$B$43,'CAD dims'!$A$106:$A$110,0))</f>
        <v>10</v>
      </c>
      <c r="C37" s="9" t="s">
        <v>54</v>
      </c>
      <c r="D37" s="25">
        <f>Inputs!$B$13</f>
        <v>10</v>
      </c>
      <c r="E37" s="39">
        <f>B37/D37-1</f>
        <v>0</v>
      </c>
      <c r="F37" s="69" t="str">
        <f t="shared" si="10"/>
        <v>OK</v>
      </c>
      <c r="G37" s="9" t="s">
        <v>339</v>
      </c>
    </row>
    <row r="38" ht="15.75" customHeight="1"/>
    <row r="39" ht="15.75" customHeight="1">
      <c r="A39" s="5" t="s">
        <v>340</v>
      </c>
      <c r="B39" s="6"/>
      <c r="C39" s="6"/>
      <c r="D39" s="6"/>
      <c r="E39" s="6"/>
      <c r="F39" s="6"/>
      <c r="G39" s="6"/>
    </row>
    <row r="40" ht="15.75" customHeight="1">
      <c r="A40" s="3" t="s">
        <v>262</v>
      </c>
      <c r="B40" s="3" t="s">
        <v>3</v>
      </c>
      <c r="C40" s="3" t="s">
        <v>4</v>
      </c>
      <c r="D40" s="3" t="s">
        <v>263</v>
      </c>
      <c r="E40" s="3" t="s">
        <v>264</v>
      </c>
      <c r="F40" s="3" t="s">
        <v>216</v>
      </c>
      <c r="G40" s="3" t="s">
        <v>194</v>
      </c>
    </row>
    <row r="41" ht="15.75" customHeight="1">
      <c r="A41" s="9" t="s">
        <v>341</v>
      </c>
      <c r="B41" s="39">
        <f>$B$31+2*Inputs!$B$46</f>
        <v>21</v>
      </c>
      <c r="C41" s="9" t="s">
        <v>18</v>
      </c>
      <c r="D41" s="39"/>
      <c r="E41" s="39"/>
      <c r="F41" s="69"/>
      <c r="G41" s="9"/>
    </row>
    <row r="42" ht="15.75" customHeight="1">
      <c r="A42" s="9" t="s">
        <v>342</v>
      </c>
      <c r="B42" s="39">
        <f>2*Inputs!$B$47+$B$41</f>
        <v>41</v>
      </c>
      <c r="C42" s="9" t="s">
        <v>18</v>
      </c>
      <c r="D42" s="39"/>
      <c r="E42" s="39"/>
      <c r="F42" s="69"/>
      <c r="G42" s="9" t="s">
        <v>345</v>
      </c>
    </row>
    <row r="43" ht="15.75" customHeight="1">
      <c r="A43" s="9" t="s">
        <v>346</v>
      </c>
      <c r="B43" s="25">
        <f>$B$10/(2*PI()*$B$30^2/4)</f>
        <v>22.41846581</v>
      </c>
      <c r="C43" s="9" t="s">
        <v>158</v>
      </c>
      <c r="D43" s="25">
        <f>0.577*Inputs!$B$54</f>
        <v>377.935</v>
      </c>
      <c r="E43" s="39">
        <f t="shared" ref="E43:E44" si="11">D43/B43-1</f>
        <v>15.85820088</v>
      </c>
      <c r="F43" s="69" t="str">
        <f t="shared" ref="F43:F44" si="12">IF(E43&gt;=0,"OK","FAIL")</f>
        <v>OK</v>
      </c>
      <c r="G43" s="9"/>
    </row>
    <row r="44" ht="15.75" customHeight="1">
      <c r="A44" s="9" t="s">
        <v>347</v>
      </c>
      <c r="B44" s="25">
        <f>32*(($B$10/2)*(Inputs!$B$47/2+$B$41/4))/(PI()*$B$30^3)</f>
        <v>114.8946373</v>
      </c>
      <c r="C44" s="9" t="s">
        <v>158</v>
      </c>
      <c r="D44" s="25">
        <f>Inputs!$B$54</f>
        <v>655</v>
      </c>
      <c r="E44" s="39">
        <f t="shared" si="11"/>
        <v>4.700875302</v>
      </c>
      <c r="F44" s="69" t="str">
        <f t="shared" si="12"/>
        <v>OK</v>
      </c>
      <c r="G44" s="9"/>
    </row>
    <row r="45" ht="15.75" customHeight="1"/>
    <row r="46" ht="15.75" customHeight="1">
      <c r="A46" s="5" t="s">
        <v>348</v>
      </c>
      <c r="B46" s="6"/>
      <c r="C46" s="6"/>
      <c r="D46" s="6"/>
      <c r="E46" s="6"/>
      <c r="F46" s="6"/>
      <c r="G46" s="6"/>
    </row>
    <row r="47" ht="15.75" customHeight="1">
      <c r="A47" s="3" t="s">
        <v>262</v>
      </c>
      <c r="B47" s="3" t="s">
        <v>3</v>
      </c>
      <c r="C47" s="3" t="s">
        <v>4</v>
      </c>
      <c r="D47" s="3" t="s">
        <v>263</v>
      </c>
      <c r="E47" s="80" t="s">
        <v>349</v>
      </c>
      <c r="F47" s="3" t="s">
        <v>216</v>
      </c>
      <c r="G47" s="3" t="s">
        <v>194</v>
      </c>
    </row>
    <row r="48" ht="15.75" customHeight="1">
      <c r="A48" s="9" t="s">
        <v>351</v>
      </c>
      <c r="B48" s="25">
        <f>Inputs!$B$52*Inputs!$B$51</f>
        <v>130.2</v>
      </c>
      <c r="C48" s="9" t="s">
        <v>158</v>
      </c>
      <c r="D48" s="25"/>
      <c r="E48" s="39"/>
      <c r="F48" s="69"/>
      <c r="G48" s="9"/>
    </row>
    <row r="49" ht="15.75" customHeight="1">
      <c r="A49" s="9" t="s">
        <v>352</v>
      </c>
      <c r="B49" s="39">
        <f>$B$30+2*Inputs!$B$48</f>
        <v>34</v>
      </c>
      <c r="C49" s="9" t="s">
        <v>18</v>
      </c>
      <c r="D49" s="39"/>
      <c r="E49" s="39"/>
      <c r="F49" s="69"/>
      <c r="G49" s="9"/>
    </row>
    <row r="50" ht="15.75" customHeight="1">
      <c r="A50" s="9" t="s">
        <v>353</v>
      </c>
      <c r="B50" s="39">
        <f>$B$30/2+Inputs!$B$48</f>
        <v>17</v>
      </c>
      <c r="C50" s="9" t="s">
        <v>18</v>
      </c>
      <c r="D50" s="39"/>
      <c r="E50" s="39"/>
      <c r="F50" s="69"/>
      <c r="G50" s="9"/>
    </row>
    <row r="51" ht="15.75" customHeight="1">
      <c r="A51" s="9" t="s">
        <v>354</v>
      </c>
      <c r="B51" s="39">
        <f>$B$50/$B$30</f>
        <v>1.0625</v>
      </c>
      <c r="C51" s="9" t="s">
        <v>105</v>
      </c>
      <c r="D51" s="81">
        <v>1.5</v>
      </c>
      <c r="E51" s="39"/>
      <c r="F51" s="69" t="str">
        <f>IF(B51&gt;=1.5,"OK","FEA")</f>
        <v>FEA</v>
      </c>
      <c r="G51" s="9" t="s">
        <v>355</v>
      </c>
    </row>
    <row r="52" ht="15.75" customHeight="1">
      <c r="A52" s="9" t="s">
        <v>356</v>
      </c>
      <c r="B52" s="25">
        <f>$B$11/($B$30*Inputs!$B$47)</f>
        <v>28.171875</v>
      </c>
      <c r="C52" s="9" t="s">
        <v>158</v>
      </c>
      <c r="D52" s="25">
        <f>Inputs!$B$53*$B$48</f>
        <v>130.2</v>
      </c>
      <c r="E52" s="39">
        <f t="shared" ref="E52:E55" si="13">D52/B52</f>
        <v>4.621630616</v>
      </c>
      <c r="F52" s="69" t="str">
        <f t="shared" ref="F52:F55" si="14">IF(E52&gt;=0,"OK","FAIL")</f>
        <v>OK</v>
      </c>
      <c r="G52" s="9"/>
    </row>
    <row r="53" ht="15.75" customHeight="1">
      <c r="A53" s="9" t="s">
        <v>358</v>
      </c>
      <c r="B53" s="25">
        <f>$B$11/(2*Inputs!$B$48*Inputs!$B$47)</f>
        <v>25.04166667</v>
      </c>
      <c r="C53" s="9" t="s">
        <v>158</v>
      </c>
      <c r="D53" s="25">
        <f>0.577*$B$48</f>
        <v>75.1254</v>
      </c>
      <c r="E53" s="39">
        <f t="shared" si="13"/>
        <v>3.000015973</v>
      </c>
      <c r="F53" s="69" t="str">
        <f t="shared" si="14"/>
        <v>OK</v>
      </c>
      <c r="G53" s="9"/>
    </row>
    <row r="54" ht="15.75" customHeight="1">
      <c r="A54" s="9" t="s">
        <v>359</v>
      </c>
      <c r="B54" s="25">
        <f>$B$11/(($B$49-$B$30)*Inputs!$B$47)</f>
        <v>25.04166667</v>
      </c>
      <c r="C54" s="9" t="s">
        <v>158</v>
      </c>
      <c r="D54" s="25">
        <f t="shared" ref="D54:D55" si="15">$B$48</f>
        <v>130.2</v>
      </c>
      <c r="E54" s="39">
        <f t="shared" si="13"/>
        <v>5.199334443</v>
      </c>
      <c r="F54" s="69" t="str">
        <f t="shared" si="14"/>
        <v>OK</v>
      </c>
      <c r="G54" s="9"/>
    </row>
    <row r="55" ht="15.75" customHeight="1">
      <c r="A55" s="9" t="s">
        <v>360</v>
      </c>
      <c r="B55" s="25">
        <f>6*$B$11*Inputs!$B$10/(Inputs!$B$47*Inputs!$B$49^2)</f>
        <v>42.87752675</v>
      </c>
      <c r="C55" s="9" t="s">
        <v>158</v>
      </c>
      <c r="D55" s="25">
        <f t="shared" si="15"/>
        <v>130.2</v>
      </c>
      <c r="E55" s="39">
        <f t="shared" si="13"/>
        <v>3.03655574</v>
      </c>
      <c r="F55" s="69" t="str">
        <f t="shared" si="14"/>
        <v>OK</v>
      </c>
      <c r="G55" s="9" t="s">
        <v>361</v>
      </c>
    </row>
    <row r="56" ht="15.75" customHeight="1">
      <c r="A56" s="9" t="s">
        <v>362</v>
      </c>
      <c r="B56" s="39">
        <f>MAX($B$11/($B$30*Inputs!$B$53*$B$48),$B$11/(2*Inputs!$B$48*0.577*$B$48),$B$11/(($B$49-$B$30)*$B$48))</f>
        <v>3.333315585</v>
      </c>
      <c r="C56" s="9" t="s">
        <v>18</v>
      </c>
      <c r="D56" s="39"/>
      <c r="E56" s="39"/>
      <c r="F56" s="69"/>
      <c r="G56" s="9"/>
    </row>
    <row r="57" ht="15.75" customHeight="1">
      <c r="A57" s="9" t="s">
        <v>146</v>
      </c>
      <c r="B57" s="25">
        <f>Inputs!$B$10-$B$33/2</f>
        <v>9</v>
      </c>
      <c r="C57" s="9" t="s">
        <v>18</v>
      </c>
      <c r="D57" s="25">
        <f>Inputs!$B$39</f>
        <v>3</v>
      </c>
      <c r="E57" s="39">
        <f>B57/D57</f>
        <v>3</v>
      </c>
      <c r="F57" s="69" t="str">
        <f>IF(E57&gt;=0,"OK","FAIL")</f>
        <v>OK</v>
      </c>
      <c r="G57" s="9"/>
    </row>
    <row r="58" ht="15.75" customHeight="1">
      <c r="A58" s="9" t="s">
        <v>364</v>
      </c>
      <c r="B58" s="39">
        <f>2*Inputs!$B$47+$B$41</f>
        <v>41</v>
      </c>
      <c r="C58" s="9" t="s">
        <v>18</v>
      </c>
      <c r="D58" s="39"/>
      <c r="E58" s="39"/>
      <c r="F58" s="69"/>
      <c r="G58" s="9"/>
    </row>
    <row r="59" ht="15.75" customHeight="1"/>
    <row r="60" ht="15.75" customHeight="1">
      <c r="A60" s="5" t="s">
        <v>365</v>
      </c>
      <c r="B60" s="6"/>
      <c r="C60" s="6"/>
      <c r="D60" s="6"/>
      <c r="E60" s="6"/>
      <c r="F60" s="6"/>
      <c r="G60" s="6"/>
    </row>
    <row r="61" ht="15.75" customHeight="1">
      <c r="A61" s="3" t="s">
        <v>262</v>
      </c>
      <c r="B61" s="3" t="s">
        <v>3</v>
      </c>
      <c r="C61" s="3" t="s">
        <v>4</v>
      </c>
      <c r="D61" s="3" t="s">
        <v>263</v>
      </c>
      <c r="E61" s="3" t="s">
        <v>264</v>
      </c>
      <c r="F61" s="3" t="s">
        <v>216</v>
      </c>
      <c r="G61" s="3" t="s">
        <v>194</v>
      </c>
    </row>
    <row r="62" ht="15.75" customHeight="1">
      <c r="A62" s="9" t="s">
        <v>366</v>
      </c>
      <c r="B62" s="39">
        <f t="array" ref="B62">INDEX(Actuators!$S$2:$S$20,MATCH(Inputs!$B$32,Actuators!$A$2:$A$20,0))</f>
        <v>12</v>
      </c>
      <c r="C62" s="9" t="s">
        <v>18</v>
      </c>
      <c r="D62" s="39"/>
      <c r="E62" s="39"/>
      <c r="F62" s="69"/>
      <c r="G62" s="9"/>
    </row>
    <row r="63" ht="15.75" customHeight="1">
      <c r="A63" s="9" t="s">
        <v>368</v>
      </c>
      <c r="B63" s="39">
        <f>Inputs!$B$57-Inputs!$B$58</f>
        <v>15.5</v>
      </c>
      <c r="C63" s="9" t="s">
        <v>18</v>
      </c>
      <c r="D63" s="39"/>
      <c r="E63" s="39"/>
      <c r="F63" s="69"/>
      <c r="G63" s="9"/>
    </row>
    <row r="64" ht="15.75" customHeight="1">
      <c r="A64" s="9" t="s">
        <v>369</v>
      </c>
      <c r="B64" s="39">
        <f>$B$62+2*Inputs!$B$59</f>
        <v>22</v>
      </c>
      <c r="C64" s="9" t="s">
        <v>18</v>
      </c>
      <c r="D64" s="39"/>
      <c r="E64" s="39"/>
      <c r="F64" s="69"/>
      <c r="G64" s="9"/>
    </row>
    <row r="65" ht="15.75" customHeight="1">
      <c r="A65" s="9" t="s">
        <v>370</v>
      </c>
      <c r="B65" s="39">
        <f>$B$62/2+Inputs!$B$59</f>
        <v>11</v>
      </c>
      <c r="C65" s="9" t="s">
        <v>18</v>
      </c>
      <c r="D65" s="39"/>
      <c r="E65" s="39"/>
      <c r="F65" s="69"/>
      <c r="G65" s="9"/>
    </row>
    <row r="66" ht="15.75" customHeight="1">
      <c r="A66" s="9" t="s">
        <v>371</v>
      </c>
      <c r="B66" s="25">
        <f>$B$10/(2*PI()*$B$62^2/4)</f>
        <v>39.85505033</v>
      </c>
      <c r="C66" s="9" t="s">
        <v>158</v>
      </c>
      <c r="D66" s="25">
        <f>0.577*Inputs!$B$54</f>
        <v>377.935</v>
      </c>
      <c r="E66" s="39">
        <f t="shared" ref="E66:E69" si="16">D66/B66-1</f>
        <v>8.482737993</v>
      </c>
      <c r="F66" s="69" t="str">
        <f t="shared" ref="F66:F69" si="17">IF(E66&gt;=0,"OK","FAIL")</f>
        <v>OK</v>
      </c>
      <c r="G66" s="9"/>
    </row>
    <row r="67" ht="15.75" customHeight="1">
      <c r="A67" s="9" t="s">
        <v>374</v>
      </c>
      <c r="B67" s="25">
        <f>$B$10/($B$62*$B$63)</f>
        <v>48.46774194</v>
      </c>
      <c r="C67" s="9" t="s">
        <v>158</v>
      </c>
      <c r="D67" s="25">
        <f>Inputs!$B$53*Inputs!$B$60</f>
        <v>241</v>
      </c>
      <c r="E67" s="39">
        <f t="shared" si="16"/>
        <v>3.972379368</v>
      </c>
      <c r="F67" s="69" t="str">
        <f t="shared" si="17"/>
        <v>OK</v>
      </c>
      <c r="G67" s="9"/>
    </row>
    <row r="68" ht="15.75" customHeight="1">
      <c r="A68" s="9" t="s">
        <v>375</v>
      </c>
      <c r="B68" s="25">
        <f>$B$10/(2*Inputs!$B$59*$B$63)</f>
        <v>58.16129032</v>
      </c>
      <c r="C68" s="9" t="s">
        <v>158</v>
      </c>
      <c r="D68" s="25">
        <f>0.577*Inputs!$B$60</f>
        <v>139.057</v>
      </c>
      <c r="E68" s="39">
        <f t="shared" si="16"/>
        <v>1.390885746</v>
      </c>
      <c r="F68" s="69" t="str">
        <f t="shared" si="17"/>
        <v>OK</v>
      </c>
      <c r="G68" s="9"/>
    </row>
    <row r="69" ht="15.75" customHeight="1">
      <c r="A69" s="9" t="s">
        <v>376</v>
      </c>
      <c r="B69" s="25">
        <f>$B$10/(($B$64-$B$62)*$B$63)</f>
        <v>58.16129032</v>
      </c>
      <c r="C69" s="9" t="s">
        <v>158</v>
      </c>
      <c r="D69" s="25">
        <f>Inputs!$B$60</f>
        <v>241</v>
      </c>
      <c r="E69" s="39">
        <f t="shared" si="16"/>
        <v>3.143649473</v>
      </c>
      <c r="F69" s="69" t="str">
        <f t="shared" si="17"/>
        <v>OK</v>
      </c>
      <c r="G69" s="9"/>
    </row>
    <row r="70" ht="15.75" customHeight="1"/>
    <row r="71" ht="15.75" customHeight="1">
      <c r="A71" s="60" t="s">
        <v>378</v>
      </c>
      <c r="F71" s="69" t="str">
        <f>IF(COUNTIF(F5:F69,"FAIL")&gt;0,"FAIL",IF(COUNTIF(F5:F69,"CONFIRM")+COUNTIF(F5:F69,"FEA")&gt;0,"CHECK","PASS"))</f>
        <v>CHECK</v>
      </c>
      <c r="G71" s="9" t="s">
        <v>379</v>
      </c>
    </row>
    <row r="72" ht="15.75" customHeight="1"/>
    <row r="73" ht="15.75" customHeight="1">
      <c r="A73" s="5" t="s">
        <v>380</v>
      </c>
      <c r="B73" s="6"/>
      <c r="C73" s="6"/>
      <c r="D73" s="6"/>
      <c r="E73" s="6"/>
      <c r="F73" s="6"/>
      <c r="G73" s="6"/>
    </row>
    <row r="74" ht="15.75" customHeight="1">
      <c r="A74" s="3" t="s">
        <v>381</v>
      </c>
      <c r="B74" s="3" t="s">
        <v>3</v>
      </c>
      <c r="C74" s="3" t="s">
        <v>4</v>
      </c>
      <c r="D74" s="3" t="s">
        <v>382</v>
      </c>
      <c r="E74" s="3"/>
      <c r="F74" s="3"/>
      <c r="G74" s="3" t="s">
        <v>194</v>
      </c>
    </row>
    <row r="75" ht="15.75" customHeight="1">
      <c r="A75" s="9" t="s">
        <v>383</v>
      </c>
      <c r="B75" s="75">
        <f>Inputs!$B$11</f>
        <v>95.855</v>
      </c>
      <c r="C75" s="9" t="s">
        <v>18</v>
      </c>
      <c r="D75" s="9" t="s">
        <v>385</v>
      </c>
      <c r="G75" s="9" t="s">
        <v>386</v>
      </c>
    </row>
    <row r="76" ht="15.75" customHeight="1">
      <c r="A76" s="9" t="s">
        <v>387</v>
      </c>
      <c r="B76" s="75">
        <f>Inputs!$B$7</f>
        <v>-200</v>
      </c>
      <c r="C76" s="9" t="s">
        <v>18</v>
      </c>
      <c r="D76" s="9" t="s">
        <v>385</v>
      </c>
      <c r="G76" s="9" t="s">
        <v>388</v>
      </c>
    </row>
    <row r="77" ht="15.75" customHeight="1">
      <c r="A77" s="9" t="s">
        <v>389</v>
      </c>
      <c r="B77" s="75">
        <f>Inputs!$B$5</f>
        <v>250</v>
      </c>
      <c r="C77" s="9" t="s">
        <v>18</v>
      </c>
      <c r="D77" s="9" t="s">
        <v>385</v>
      </c>
      <c r="G77" s="9"/>
    </row>
    <row r="78" ht="15.75" customHeight="1">
      <c r="A78" s="9" t="s">
        <v>390</v>
      </c>
      <c r="B78" s="75">
        <f>Inputs!$B$6</f>
        <v>100</v>
      </c>
      <c r="C78" s="9" t="s">
        <v>18</v>
      </c>
      <c r="D78" s="9" t="s">
        <v>385</v>
      </c>
      <c r="G78" s="9"/>
    </row>
    <row r="79" ht="15.75" customHeight="1">
      <c r="A79" s="9" t="s">
        <v>391</v>
      </c>
      <c r="B79" s="75">
        <f>Validation!B11</f>
        <v>80.38951554</v>
      </c>
      <c r="C79" s="9" t="s">
        <v>18</v>
      </c>
      <c r="D79" s="9" t="s">
        <v>392</v>
      </c>
      <c r="G79" s="9" t="s">
        <v>393</v>
      </c>
    </row>
    <row r="80" ht="15.75" customHeight="1">
      <c r="A80" s="9" t="s">
        <v>394</v>
      </c>
      <c r="B80" s="63">
        <f>$B$30</f>
        <v>16</v>
      </c>
      <c r="C80" s="9" t="s">
        <v>18</v>
      </c>
      <c r="D80" s="9" t="s">
        <v>395</v>
      </c>
      <c r="G80" s="9" t="s">
        <v>396</v>
      </c>
    </row>
    <row r="81" ht="15.75" customHeight="1">
      <c r="A81" s="9" t="s">
        <v>397</v>
      </c>
      <c r="B81" s="63">
        <f>Inputs!$B$47</f>
        <v>10</v>
      </c>
      <c r="C81" s="9" t="s">
        <v>18</v>
      </c>
      <c r="D81" s="9" t="s">
        <v>398</v>
      </c>
      <c r="G81" s="9"/>
    </row>
    <row r="82" ht="15.75" customHeight="1">
      <c r="A82" s="9" t="s">
        <v>399</v>
      </c>
      <c r="B82" s="63">
        <f>$B$41</f>
        <v>21</v>
      </c>
      <c r="C82" s="9" t="s">
        <v>18</v>
      </c>
      <c r="D82" s="9" t="s">
        <v>400</v>
      </c>
      <c r="G82" s="9" t="s">
        <v>401</v>
      </c>
    </row>
    <row r="83" ht="15.75" customHeight="1">
      <c r="A83" s="9" t="s">
        <v>402</v>
      </c>
      <c r="B83" s="63">
        <f>$B$58</f>
        <v>41</v>
      </c>
      <c r="C83" s="9" t="s">
        <v>18</v>
      </c>
      <c r="D83" s="9" t="s">
        <v>403</v>
      </c>
      <c r="G83" s="9"/>
    </row>
    <row r="84" ht="15.75" customHeight="1">
      <c r="A84" s="9" t="s">
        <v>404</v>
      </c>
      <c r="B84" s="63">
        <f>$B$50</f>
        <v>17</v>
      </c>
      <c r="C84" s="9" t="s">
        <v>18</v>
      </c>
      <c r="D84" s="9" t="s">
        <v>385</v>
      </c>
      <c r="G84" s="9"/>
    </row>
    <row r="85" ht="15.75" customHeight="1">
      <c r="A85" s="9" t="s">
        <v>405</v>
      </c>
      <c r="B85" s="63">
        <f>$B$49</f>
        <v>34</v>
      </c>
      <c r="C85" s="9" t="s">
        <v>18</v>
      </c>
      <c r="D85" s="9" t="s">
        <v>385</v>
      </c>
      <c r="G85" s="9"/>
    </row>
    <row r="86" ht="15.75" customHeight="1">
      <c r="A86" s="9" t="s">
        <v>406</v>
      </c>
      <c r="B86" s="63">
        <f>Inputs!$B$10</f>
        <v>30</v>
      </c>
      <c r="C86" s="9" t="s">
        <v>18</v>
      </c>
      <c r="D86" s="9" t="s">
        <v>398</v>
      </c>
      <c r="G86" s="9"/>
    </row>
    <row r="87" ht="15.75" customHeight="1">
      <c r="A87" s="9" t="s">
        <v>408</v>
      </c>
      <c r="B87" s="63">
        <f>Inputs!$B$49</f>
        <v>43.5</v>
      </c>
      <c r="C87" s="9" t="s">
        <v>18</v>
      </c>
      <c r="D87" s="9" t="s">
        <v>385</v>
      </c>
      <c r="G87" s="9"/>
    </row>
    <row r="88" ht="15.75" customHeight="1">
      <c r="A88" s="9" t="s">
        <v>409</v>
      </c>
      <c r="B88" s="63">
        <f>Inputs!$B$50</f>
        <v>4</v>
      </c>
      <c r="C88" s="9" t="s">
        <v>18</v>
      </c>
      <c r="D88" s="9" t="s">
        <v>410</v>
      </c>
      <c r="G88" s="9"/>
    </row>
    <row r="89" ht="15.75" customHeight="1">
      <c r="A89" s="9" t="s">
        <v>70</v>
      </c>
      <c r="B89" s="63">
        <f>Inputs!$B$9</f>
        <v>1</v>
      </c>
      <c r="C89" s="9" t="s">
        <v>18</v>
      </c>
      <c r="D89" s="9" t="s">
        <v>385</v>
      </c>
      <c r="G89" s="9"/>
    </row>
    <row r="90" ht="15.75" customHeight="1">
      <c r="A90" s="9" t="s">
        <v>411</v>
      </c>
      <c r="B90" s="63">
        <f>Inputs!$B$49+2*Inputs!$B$50</f>
        <v>51.5</v>
      </c>
      <c r="C90" s="9" t="s">
        <v>18</v>
      </c>
      <c r="D90" s="9" t="s">
        <v>385</v>
      </c>
      <c r="G90" s="9"/>
    </row>
    <row r="91" ht="15.75" customHeight="1">
      <c r="A91" s="9" t="s">
        <v>412</v>
      </c>
      <c r="B91" s="63">
        <f>$B$58+2</f>
        <v>43</v>
      </c>
      <c r="C91" s="9" t="s">
        <v>18</v>
      </c>
      <c r="D91" s="9" t="s">
        <v>385</v>
      </c>
      <c r="G91" s="9"/>
    </row>
    <row r="92" ht="15.75" customHeight="1">
      <c r="A92" s="9" t="s">
        <v>413</v>
      </c>
      <c r="B92" s="82" t="str">
        <f>TEXT($B$30,"0")&amp;" × "&amp;TEXT($B$42,"0.0")</f>
        <v>16 × 41.0</v>
      </c>
      <c r="C92" s="9" t="s">
        <v>18</v>
      </c>
      <c r="D92" s="9"/>
      <c r="G92" s="9" t="s">
        <v>414</v>
      </c>
    </row>
    <row r="93" ht="15.75" customHeight="1">
      <c r="A93" s="9" t="s">
        <v>416</v>
      </c>
      <c r="B93" s="82" t="str">
        <f t="array" ref="B93">INDEX('CAD dims'!$G$106:$G$110,MATCH(Inputs!$B$43,'CAD dims'!$A$106:$A$110,0))&amp;" / "&amp;TEXT(Inputs!$B$56*VALUE(MID(INDEX('CAD dims'!$G$106:$G$110,MATCH(Inputs!$B$43,'CAD dims'!$A$106:$A$110,0)),2,FIND("x",INDEX('CAD dims'!$G$106:$G$110,MATCH(Inputs!$B$43,'CAD dims'!$A$106:$A$110,0)))-2)),"0")&amp;" mm"</f>
        <v>M12x1.25 / 12 mm</v>
      </c>
      <c r="C93" s="9"/>
      <c r="D93" s="9"/>
      <c r="G93" s="9" t="s">
        <v>421</v>
      </c>
    </row>
    <row r="94" ht="15.75" customHeight="1">
      <c r="A94" s="9" t="s">
        <v>422</v>
      </c>
      <c r="B94" s="63">
        <f>$B$62</f>
        <v>12</v>
      </c>
      <c r="C94" s="9" t="s">
        <v>18</v>
      </c>
      <c r="D94" s="9" t="s">
        <v>424</v>
      </c>
      <c r="G94" s="9"/>
    </row>
    <row r="95" ht="15.75" customHeight="1">
      <c r="A95" s="9" t="s">
        <v>425</v>
      </c>
      <c r="B95" s="82" t="str">
        <f>TEXT($B$63,"0.0")&amp;" × "&amp;TEXT($B$64,"0.0")&amp;" × R"&amp;TEXT($B$65,"0.0")</f>
        <v>15.5 × 22.0 × R11.0</v>
      </c>
      <c r="C95" s="9" t="s">
        <v>18</v>
      </c>
      <c r="D95" s="9"/>
      <c r="G95" s="9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>
      <c r="A104" s="5" t="s">
        <v>427</v>
      </c>
      <c r="B104" s="6"/>
      <c r="C104" s="6"/>
      <c r="D104" s="6"/>
      <c r="E104" s="6"/>
      <c r="F104" s="6"/>
      <c r="G104" s="6"/>
      <c r="H104" s="6"/>
      <c r="I104" s="6"/>
    </row>
    <row r="105" ht="15.75" customHeight="1">
      <c r="A105" s="3" t="s">
        <v>430</v>
      </c>
      <c r="B105" s="3" t="s">
        <v>434</v>
      </c>
      <c r="C105" s="3" t="s">
        <v>436</v>
      </c>
      <c r="D105" s="3" t="s">
        <v>437</v>
      </c>
      <c r="E105" s="3" t="s">
        <v>439</v>
      </c>
      <c r="F105" s="3" t="s">
        <v>440</v>
      </c>
      <c r="G105" s="3" t="s">
        <v>441</v>
      </c>
      <c r="H105" s="3" t="s">
        <v>442</v>
      </c>
      <c r="I105" s="3" t="s">
        <v>443</v>
      </c>
    </row>
    <row r="106" ht="15.75" customHeight="1">
      <c r="A106" s="34" t="s">
        <v>141</v>
      </c>
      <c r="B106" s="34">
        <v>16.0</v>
      </c>
      <c r="C106" s="34">
        <v>21.0</v>
      </c>
      <c r="D106" s="34">
        <v>15.0</v>
      </c>
      <c r="E106" s="36">
        <v>42.0</v>
      </c>
      <c r="F106" s="34">
        <v>10.0</v>
      </c>
      <c r="G106" s="34" t="s">
        <v>329</v>
      </c>
      <c r="H106" s="34">
        <v>92.1</v>
      </c>
      <c r="I106" s="31">
        <v>29.0</v>
      </c>
    </row>
    <row r="107" ht="15.75" customHeight="1">
      <c r="A107" s="34" t="s">
        <v>447</v>
      </c>
      <c r="B107" s="34">
        <v>12.0</v>
      </c>
      <c r="C107" s="34">
        <v>16.0</v>
      </c>
      <c r="D107" s="34">
        <v>12.0</v>
      </c>
      <c r="E107" s="36">
        <v>32.0</v>
      </c>
      <c r="F107" s="34">
        <v>13.0</v>
      </c>
      <c r="G107" s="34" t="s">
        <v>329</v>
      </c>
      <c r="H107" s="34">
        <v>92.1</v>
      </c>
      <c r="I107" s="34">
        <v>42.0</v>
      </c>
    </row>
    <row r="108" ht="15.75" customHeight="1"/>
    <row r="109" ht="15.75" customHeight="1">
      <c r="A109" s="2" t="s">
        <v>448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71">
    <cfRule type="expression" dxfId="0" priority="1">
      <formula>OR(F5="OK",F5="PASS")</formula>
    </cfRule>
  </conditionalFormatting>
  <conditionalFormatting sqref="F5:F71">
    <cfRule type="expression" dxfId="1" priority="2">
      <formula>OR(F5="FAIL",F5="LOW",F5="SLOW",F5="NO FIT",F5="TOO WIDE",F5="NO")</formula>
    </cfRule>
  </conditionalFormatting>
  <conditionalFormatting sqref="F5:F71">
    <cfRule type="expression" dxfId="2" priority="3">
      <formula>OR(F5="CONFIRM",F5="FEA",F5="CHECK")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1414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4.0"/>
    <col customWidth="1" min="2" max="4" width="11.0"/>
    <col customWidth="1" min="5" max="5" width="19.88"/>
    <col customWidth="1" min="6" max="6" width="20.25"/>
    <col customWidth="1" min="7" max="7" width="35.0"/>
    <col customWidth="1" min="8" max="8" width="22.75"/>
    <col customWidth="1" min="9" max="9" width="28.88"/>
    <col customWidth="1" min="10" max="10" width="11.0"/>
    <col customWidth="1" min="11" max="11" width="28.13"/>
    <col customWidth="1" min="12" max="12" width="30.63"/>
    <col customWidth="1" min="13" max="13" width="15.63"/>
    <col customWidth="1" min="14" max="14" width="25.5"/>
    <col customWidth="1" min="15" max="15" width="25.88"/>
    <col customWidth="1" min="16" max="16" width="19.13"/>
    <col customWidth="1" min="17" max="17" width="22.38"/>
    <col customWidth="1" min="18" max="18" width="20.38"/>
    <col customWidth="1" min="19" max="19" width="34.63"/>
    <col customWidth="1" min="20" max="20" width="22.38"/>
    <col customWidth="1" min="21" max="21" width="21.5"/>
    <col customWidth="1" min="22" max="22" width="25.0"/>
    <col customWidth="1" min="23" max="23" width="40.5"/>
    <col customWidth="1" min="24" max="24" width="3.0"/>
    <col customWidth="1" min="25" max="32" width="12.0"/>
    <col customWidth="1" min="34" max="35" width="13.0"/>
  </cols>
  <sheetData>
    <row r="1" ht="60.0" customHeight="1">
      <c r="A1" s="3" t="s">
        <v>293</v>
      </c>
      <c r="B1" s="3" t="s">
        <v>294</v>
      </c>
      <c r="C1" s="3" t="s">
        <v>295</v>
      </c>
      <c r="D1" s="3" t="s">
        <v>296</v>
      </c>
      <c r="E1" s="3" t="s">
        <v>297</v>
      </c>
      <c r="F1" s="3" t="s">
        <v>298</v>
      </c>
      <c r="G1" s="3" t="s">
        <v>299</v>
      </c>
      <c r="H1" s="3" t="s">
        <v>300</v>
      </c>
      <c r="I1" s="3" t="s">
        <v>301</v>
      </c>
      <c r="J1" s="3" t="s">
        <v>302</v>
      </c>
      <c r="K1" s="3" t="s">
        <v>303</v>
      </c>
      <c r="L1" s="3" t="s">
        <v>304</v>
      </c>
      <c r="M1" s="3" t="s">
        <v>305</v>
      </c>
      <c r="N1" s="3" t="s">
        <v>306</v>
      </c>
      <c r="O1" s="3" t="s">
        <v>307</v>
      </c>
      <c r="P1" s="3" t="s">
        <v>308</v>
      </c>
      <c r="Q1" s="3" t="s">
        <v>309</v>
      </c>
      <c r="R1" s="3" t="s">
        <v>310</v>
      </c>
      <c r="S1" s="3" t="s">
        <v>311</v>
      </c>
      <c r="T1" s="3" t="s">
        <v>313</v>
      </c>
      <c r="U1" s="3" t="s">
        <v>314</v>
      </c>
      <c r="V1" s="3" t="s">
        <v>315</v>
      </c>
      <c r="W1" s="3" t="s">
        <v>316</v>
      </c>
      <c r="X1" s="77"/>
      <c r="Y1" s="3" t="s">
        <v>317</v>
      </c>
      <c r="Z1" s="3" t="s">
        <v>318</v>
      </c>
      <c r="AA1" s="3" t="s">
        <v>319</v>
      </c>
      <c r="AB1" s="3" t="s">
        <v>320</v>
      </c>
      <c r="AC1" s="3" t="s">
        <v>321</v>
      </c>
      <c r="AD1" s="3" t="s">
        <v>322</v>
      </c>
      <c r="AE1" s="3" t="s">
        <v>323</v>
      </c>
      <c r="AF1" s="3" t="s">
        <v>231</v>
      </c>
      <c r="AH1" s="3" t="s">
        <v>324</v>
      </c>
      <c r="AI1" s="3" t="s">
        <v>325</v>
      </c>
    </row>
    <row r="2" ht="15.75" customHeight="1">
      <c r="A2" s="9" t="s">
        <v>326</v>
      </c>
      <c r="B2" s="78">
        <v>1.62</v>
      </c>
      <c r="C2" s="78">
        <v>4.45</v>
      </c>
      <c r="D2" s="78">
        <v>305.0</v>
      </c>
      <c r="E2" s="9" t="s">
        <v>328</v>
      </c>
      <c r="F2" s="78">
        <v>292.9</v>
      </c>
      <c r="G2" s="78">
        <v>369.1</v>
      </c>
      <c r="H2" s="78">
        <v>673.9</v>
      </c>
      <c r="I2" s="78">
        <v>1131.1</v>
      </c>
      <c r="J2" s="78">
        <v>83.6</v>
      </c>
      <c r="K2" s="78">
        <v>124.6</v>
      </c>
      <c r="L2" s="78">
        <v>6.1</v>
      </c>
      <c r="M2" s="78">
        <v>30.13</v>
      </c>
      <c r="N2" s="9" t="s">
        <v>329</v>
      </c>
      <c r="O2" s="78">
        <v>22.2</v>
      </c>
      <c r="P2" s="9" t="s">
        <v>330</v>
      </c>
      <c r="Q2" s="78">
        <v>16.0</v>
      </c>
      <c r="R2" s="78">
        <v>16.0</v>
      </c>
      <c r="S2" s="78">
        <v>12.0</v>
      </c>
      <c r="T2" s="79"/>
      <c r="U2" s="25">
        <f t="shared" ref="U2:U20" si="1">VALUE(LEFT(E2,FIND("-",E2)-1))</f>
        <v>76.2</v>
      </c>
      <c r="V2" s="25">
        <f t="shared" ref="V2:V20" si="2">VALUE(MID(E2,FIND("-",E2)+1,20))</f>
        <v>457.2</v>
      </c>
      <c r="W2" s="25">
        <f t="shared" ref="W2:W20" si="3">F2-U2</f>
        <v>216.7</v>
      </c>
      <c r="Y2" s="9" t="str">
        <f>IF(B2*1000&gt;=Loads!$B$34,"OK","LOW")</f>
        <v>OK</v>
      </c>
      <c r="Z2" s="9" t="str">
        <f>IF(C2*1000&gt;=Loads!$B$35,"OK","LOW")</f>
        <v>OK</v>
      </c>
      <c r="AA2" s="9" t="str">
        <f>IF(D2&gt;=Geometry!$B$21,"OK","SLOW")</f>
        <v>OK</v>
      </c>
      <c r="AB2" s="25">
        <f>MAX(U2,(Geometry!$B$26+Inputs!$B$34-W2-Inputs!$B$35)/2)</f>
        <v>77.57228909</v>
      </c>
      <c r="AC2" s="25">
        <f>MIN(V2,Geometry!$B$25-Inputs!$B$34-W2-Inputs!$B$35)</f>
        <v>83.5659342</v>
      </c>
      <c r="AD2" s="9" t="str">
        <f t="shared" ref="AD2:AD20" si="4">IF(AB2&lt;=AC2,"OK","NO FIT")</f>
        <v>OK</v>
      </c>
      <c r="AE2" s="9" t="str">
        <f>IF(Inputs!$B$5+J2/2&lt;=Inputs!$B$38,"OK","TOO WIDE")</f>
        <v>OK</v>
      </c>
      <c r="AF2" s="60" t="str">
        <f t="shared" ref="AF2:AF20" si="5">IF(AND(Y2="OK",Z2="OK",AA2="OK",AD2="OK",AE2="OK"),"PASS","FAIL")</f>
        <v>PASS</v>
      </c>
      <c r="AH2" s="39">
        <f>Loads!$B$34/1000</f>
        <v>1.063451165</v>
      </c>
      <c r="AI2" s="39">
        <f>Loads!$B$35/1000</f>
        <v>3.158132871</v>
      </c>
    </row>
    <row r="3" ht="15.75" customHeight="1">
      <c r="A3" s="9" t="s">
        <v>118</v>
      </c>
      <c r="B3" s="78">
        <v>2.0</v>
      </c>
      <c r="C3" s="78">
        <v>6.01</v>
      </c>
      <c r="D3" s="78">
        <v>244.0</v>
      </c>
      <c r="E3" s="9" t="s">
        <v>328</v>
      </c>
      <c r="F3" s="78">
        <v>292.9</v>
      </c>
      <c r="G3" s="78">
        <v>369.1</v>
      </c>
      <c r="H3" s="78">
        <v>673.9</v>
      </c>
      <c r="I3" s="78">
        <v>1131.1</v>
      </c>
      <c r="J3" s="78">
        <v>83.6</v>
      </c>
      <c r="K3" s="78">
        <v>124.6</v>
      </c>
      <c r="L3" s="78">
        <v>6.1</v>
      </c>
      <c r="M3" s="78">
        <v>30.13</v>
      </c>
      <c r="N3" s="9" t="s">
        <v>329</v>
      </c>
      <c r="O3" s="78">
        <v>22.2</v>
      </c>
      <c r="P3" s="9" t="s">
        <v>330</v>
      </c>
      <c r="Q3" s="78">
        <v>16.0</v>
      </c>
      <c r="R3" s="78">
        <v>16.0</v>
      </c>
      <c r="S3" s="78">
        <v>12.0</v>
      </c>
      <c r="T3" s="79"/>
      <c r="U3" s="25">
        <f t="shared" si="1"/>
        <v>76.2</v>
      </c>
      <c r="V3" s="25">
        <f t="shared" si="2"/>
        <v>457.2</v>
      </c>
      <c r="W3" s="25">
        <f t="shared" si="3"/>
        <v>216.7</v>
      </c>
      <c r="Y3" s="9" t="str">
        <f>IF(B3*1000&gt;=Loads!$B$34,"OK","LOW")</f>
        <v>OK</v>
      </c>
      <c r="Z3" s="9" t="str">
        <f>IF(C3*1000&gt;=Loads!$B$35,"OK","LOW")</f>
        <v>OK</v>
      </c>
      <c r="AA3" s="9" t="str">
        <f>IF(D3&gt;=Geometry!$B$21,"OK","SLOW")</f>
        <v>OK</v>
      </c>
      <c r="AB3" s="25">
        <f>MAX(U3,(Geometry!$B$26+Inputs!$B$34-W3-Inputs!$B$35)/2)</f>
        <v>77.57228909</v>
      </c>
      <c r="AC3" s="25">
        <f>MIN(V3,Geometry!$B$25-Inputs!$B$34-W3-Inputs!$B$35)</f>
        <v>83.5659342</v>
      </c>
      <c r="AD3" s="9" t="str">
        <f t="shared" si="4"/>
        <v>OK</v>
      </c>
      <c r="AE3" s="9" t="str">
        <f>IF(Inputs!$B$5+J3/2&lt;=Inputs!$B$38,"OK","TOO WIDE")</f>
        <v>OK</v>
      </c>
      <c r="AF3" s="60" t="str">
        <f t="shared" si="5"/>
        <v>PASS</v>
      </c>
      <c r="AH3" s="39">
        <f>Loads!$B$34/1000</f>
        <v>1.063451165</v>
      </c>
      <c r="AI3" s="39">
        <f>Loads!$B$35/1000</f>
        <v>3.158132871</v>
      </c>
    </row>
    <row r="4" ht="15.75" customHeight="1">
      <c r="A4" s="9" t="s">
        <v>336</v>
      </c>
      <c r="B4" s="78">
        <v>1.56</v>
      </c>
      <c r="C4" s="78">
        <v>4.67</v>
      </c>
      <c r="D4" s="78">
        <v>305.0</v>
      </c>
      <c r="E4" s="9" t="s">
        <v>328</v>
      </c>
      <c r="F4" s="78">
        <v>292.9</v>
      </c>
      <c r="G4" s="78">
        <v>369.1</v>
      </c>
      <c r="H4" s="78">
        <v>673.9</v>
      </c>
      <c r="I4" s="78">
        <v>1131.1</v>
      </c>
      <c r="J4" s="78">
        <v>83.6</v>
      </c>
      <c r="K4" s="78">
        <v>124.6</v>
      </c>
      <c r="L4" s="78">
        <v>6.1</v>
      </c>
      <c r="M4" s="78">
        <v>30.13</v>
      </c>
      <c r="N4" s="9" t="s">
        <v>329</v>
      </c>
      <c r="O4" s="78">
        <v>22.2</v>
      </c>
      <c r="P4" s="9" t="s">
        <v>330</v>
      </c>
      <c r="Q4" s="78">
        <v>16.0</v>
      </c>
      <c r="R4" s="78">
        <v>16.0</v>
      </c>
      <c r="S4" s="78">
        <v>12.0</v>
      </c>
      <c r="T4" s="79"/>
      <c r="U4" s="25">
        <f t="shared" si="1"/>
        <v>76.2</v>
      </c>
      <c r="V4" s="25">
        <f t="shared" si="2"/>
        <v>457.2</v>
      </c>
      <c r="W4" s="25">
        <f t="shared" si="3"/>
        <v>216.7</v>
      </c>
      <c r="Y4" s="9" t="str">
        <f>IF(B4*1000&gt;=Loads!$B$34,"OK","LOW")</f>
        <v>OK</v>
      </c>
      <c r="Z4" s="9" t="str">
        <f>IF(C4*1000&gt;=Loads!$B$35,"OK","LOW")</f>
        <v>OK</v>
      </c>
      <c r="AA4" s="9" t="str">
        <f>IF(D4&gt;=Geometry!$B$21,"OK","SLOW")</f>
        <v>OK</v>
      </c>
      <c r="AB4" s="25">
        <f>MAX(U4,(Geometry!$B$26+Inputs!$B$34-W4-Inputs!$B$35)/2)</f>
        <v>77.57228909</v>
      </c>
      <c r="AC4" s="25">
        <f>MIN(V4,Geometry!$B$25-Inputs!$B$34-W4-Inputs!$B$35)</f>
        <v>83.5659342</v>
      </c>
      <c r="AD4" s="9" t="str">
        <f t="shared" si="4"/>
        <v>OK</v>
      </c>
      <c r="AE4" s="9" t="str">
        <f>IF(Inputs!$B$5+J4/2&lt;=Inputs!$B$38,"OK","TOO WIDE")</f>
        <v>OK</v>
      </c>
      <c r="AF4" s="60" t="str">
        <f t="shared" si="5"/>
        <v>PASS</v>
      </c>
      <c r="AH4" s="39">
        <f>Loads!$B$34/1000</f>
        <v>1.063451165</v>
      </c>
      <c r="AI4" s="39">
        <f>Loads!$B$35/1000</f>
        <v>3.158132871</v>
      </c>
    </row>
    <row r="5" ht="15.75" customHeight="1">
      <c r="A5" s="9" t="s">
        <v>343</v>
      </c>
      <c r="B5" s="78">
        <v>4.0</v>
      </c>
      <c r="C5" s="78">
        <v>4.45</v>
      </c>
      <c r="D5" s="78">
        <v>292.0</v>
      </c>
      <c r="E5" s="9" t="s">
        <v>344</v>
      </c>
      <c r="F5" s="78">
        <v>369.1</v>
      </c>
      <c r="G5" s="78">
        <v>521.5</v>
      </c>
      <c r="H5" s="78">
        <v>673.9</v>
      </c>
      <c r="I5" s="78">
        <v>1131.1</v>
      </c>
      <c r="J5" s="78">
        <v>83.6</v>
      </c>
      <c r="K5" s="78">
        <v>124.6</v>
      </c>
      <c r="L5" s="78">
        <v>8.2</v>
      </c>
      <c r="M5" s="78">
        <v>30.13</v>
      </c>
      <c r="N5" s="9" t="s">
        <v>329</v>
      </c>
      <c r="O5" s="78">
        <v>22.2</v>
      </c>
      <c r="P5" s="9" t="s">
        <v>330</v>
      </c>
      <c r="Q5" s="78">
        <v>16.0</v>
      </c>
      <c r="R5" s="78">
        <v>16.0</v>
      </c>
      <c r="S5" s="78">
        <v>12.0</v>
      </c>
      <c r="T5" s="79"/>
      <c r="U5" s="25">
        <f t="shared" si="1"/>
        <v>152.4</v>
      </c>
      <c r="V5" s="25">
        <f t="shared" si="2"/>
        <v>457.2</v>
      </c>
      <c r="W5" s="25">
        <f t="shared" si="3"/>
        <v>216.7</v>
      </c>
      <c r="Y5" s="9" t="str">
        <f>IF(B5*1000&gt;=Loads!$B$34,"OK","LOW")</f>
        <v>OK</v>
      </c>
      <c r="Z5" s="9" t="str">
        <f>IF(C5*1000&gt;=Loads!$B$35,"OK","LOW")</f>
        <v>OK</v>
      </c>
      <c r="AA5" s="9" t="str">
        <f>IF(D5&gt;=Geometry!$B$21,"OK","SLOW")</f>
        <v>OK</v>
      </c>
      <c r="AB5" s="25">
        <f>MAX(U5,(Geometry!$B$26+Inputs!$B$34-W5-Inputs!$B$35)/2)</f>
        <v>152.4</v>
      </c>
      <c r="AC5" s="25">
        <f>MIN(V5,Geometry!$B$25-Inputs!$B$34-W5-Inputs!$B$35)</f>
        <v>83.5659342</v>
      </c>
      <c r="AD5" s="9" t="str">
        <f t="shared" si="4"/>
        <v>NO FIT</v>
      </c>
      <c r="AE5" s="9" t="str">
        <f>IF(Inputs!$B$5+J5/2&lt;=Inputs!$B$38,"OK","TOO WIDE")</f>
        <v>OK</v>
      </c>
      <c r="AF5" s="60" t="str">
        <f t="shared" si="5"/>
        <v>FAIL</v>
      </c>
      <c r="AH5" s="39">
        <f>Loads!$B$34/1000</f>
        <v>1.063451165</v>
      </c>
      <c r="AI5" s="39">
        <f>Loads!$B$35/1000</f>
        <v>3.158132871</v>
      </c>
    </row>
    <row r="6" ht="15.75" customHeight="1">
      <c r="A6" s="9" t="s">
        <v>350</v>
      </c>
      <c r="B6" s="78">
        <v>2.0</v>
      </c>
      <c r="C6" s="78">
        <v>4.0</v>
      </c>
      <c r="D6" s="78">
        <v>584.0</v>
      </c>
      <c r="E6" s="9" t="s">
        <v>344</v>
      </c>
      <c r="F6" s="78">
        <v>369.1</v>
      </c>
      <c r="G6" s="78">
        <v>521.5</v>
      </c>
      <c r="H6" s="78">
        <v>673.9</v>
      </c>
      <c r="I6" s="78">
        <v>1131.1</v>
      </c>
      <c r="J6" s="78">
        <v>83.6</v>
      </c>
      <c r="K6" s="78">
        <v>124.6</v>
      </c>
      <c r="L6" s="78">
        <v>8.2</v>
      </c>
      <c r="M6" s="78">
        <v>30.13</v>
      </c>
      <c r="N6" s="9" t="s">
        <v>329</v>
      </c>
      <c r="O6" s="78">
        <v>22.2</v>
      </c>
      <c r="P6" s="9" t="s">
        <v>330</v>
      </c>
      <c r="Q6" s="78">
        <v>16.0</v>
      </c>
      <c r="R6" s="78">
        <v>16.0</v>
      </c>
      <c r="S6" s="78">
        <v>12.0</v>
      </c>
      <c r="T6" s="79"/>
      <c r="U6" s="25">
        <f t="shared" si="1"/>
        <v>152.4</v>
      </c>
      <c r="V6" s="25">
        <f t="shared" si="2"/>
        <v>457.2</v>
      </c>
      <c r="W6" s="25">
        <f t="shared" si="3"/>
        <v>216.7</v>
      </c>
      <c r="Y6" s="9" t="str">
        <f>IF(B6*1000&gt;=Loads!$B$34,"OK","LOW")</f>
        <v>OK</v>
      </c>
      <c r="Z6" s="9" t="str">
        <f>IF(C6*1000&gt;=Loads!$B$35,"OK","LOW")</f>
        <v>OK</v>
      </c>
      <c r="AA6" s="9" t="str">
        <f>IF(D6&gt;=Geometry!$B$21,"OK","SLOW")</f>
        <v>OK</v>
      </c>
      <c r="AB6" s="25">
        <f>MAX(U6,(Geometry!$B$26+Inputs!$B$34-W6-Inputs!$B$35)/2)</f>
        <v>152.4</v>
      </c>
      <c r="AC6" s="25">
        <f>MIN(V6,Geometry!$B$25-Inputs!$B$34-W6-Inputs!$B$35)</f>
        <v>83.5659342</v>
      </c>
      <c r="AD6" s="9" t="str">
        <f t="shared" si="4"/>
        <v>NO FIT</v>
      </c>
      <c r="AE6" s="9" t="str">
        <f>IF(Inputs!$B$5+J6/2&lt;=Inputs!$B$38,"OK","TOO WIDE")</f>
        <v>OK</v>
      </c>
      <c r="AF6" s="60" t="str">
        <f t="shared" si="5"/>
        <v>FAIL</v>
      </c>
      <c r="AH6" s="39">
        <f>Loads!$B$34/1000</f>
        <v>1.063451165</v>
      </c>
      <c r="AI6" s="39">
        <f>Loads!$B$35/1000</f>
        <v>3.158132871</v>
      </c>
    </row>
    <row r="7" ht="15.75" customHeight="1">
      <c r="A7" s="9" t="s">
        <v>357</v>
      </c>
      <c r="B7" s="78">
        <v>4.76</v>
      </c>
      <c r="C7" s="78">
        <v>11.12</v>
      </c>
      <c r="D7" s="78">
        <v>234.0</v>
      </c>
      <c r="E7" s="9" t="s">
        <v>344</v>
      </c>
      <c r="F7" s="78">
        <v>369.1</v>
      </c>
      <c r="G7" s="78">
        <v>521.5</v>
      </c>
      <c r="H7" s="78">
        <v>673.9</v>
      </c>
      <c r="I7" s="78">
        <v>1131.1</v>
      </c>
      <c r="J7" s="78">
        <v>83.6</v>
      </c>
      <c r="K7" s="78">
        <v>124.6</v>
      </c>
      <c r="L7" s="78">
        <v>8.2</v>
      </c>
      <c r="M7" s="78">
        <v>30.13</v>
      </c>
      <c r="N7" s="9" t="s">
        <v>329</v>
      </c>
      <c r="O7" s="78">
        <v>22.2</v>
      </c>
      <c r="P7" s="9" t="s">
        <v>330</v>
      </c>
      <c r="Q7" s="78">
        <v>16.0</v>
      </c>
      <c r="R7" s="78">
        <v>16.0</v>
      </c>
      <c r="S7" s="78">
        <v>12.0</v>
      </c>
      <c r="T7" s="79"/>
      <c r="U7" s="25">
        <f t="shared" si="1"/>
        <v>152.4</v>
      </c>
      <c r="V7" s="25">
        <f t="shared" si="2"/>
        <v>457.2</v>
      </c>
      <c r="W7" s="25">
        <f t="shared" si="3"/>
        <v>216.7</v>
      </c>
      <c r="Y7" s="9" t="str">
        <f>IF(B7*1000&gt;=Loads!$B$34,"OK","LOW")</f>
        <v>OK</v>
      </c>
      <c r="Z7" s="9" t="str">
        <f>IF(C7*1000&gt;=Loads!$B$35,"OK","LOW")</f>
        <v>OK</v>
      </c>
      <c r="AA7" s="9" t="str">
        <f>IF(D7&gt;=Geometry!$B$21,"OK","SLOW")</f>
        <v>OK</v>
      </c>
      <c r="AB7" s="25">
        <f>MAX(U7,(Geometry!$B$26+Inputs!$B$34-W7-Inputs!$B$35)/2)</f>
        <v>152.4</v>
      </c>
      <c r="AC7" s="25">
        <f>MIN(V7,Geometry!$B$25-Inputs!$B$34-W7-Inputs!$B$35)</f>
        <v>83.5659342</v>
      </c>
      <c r="AD7" s="9" t="str">
        <f t="shared" si="4"/>
        <v>NO FIT</v>
      </c>
      <c r="AE7" s="9" t="str">
        <f>IF(Inputs!$B$5+J7/2&lt;=Inputs!$B$38,"OK","TOO WIDE")</f>
        <v>OK</v>
      </c>
      <c r="AF7" s="60" t="str">
        <f t="shared" si="5"/>
        <v>FAIL</v>
      </c>
      <c r="AH7" s="39">
        <f>Loads!$B$34/1000</f>
        <v>1.063451165</v>
      </c>
      <c r="AI7" s="39">
        <f>Loads!$B$35/1000</f>
        <v>3.158132871</v>
      </c>
    </row>
    <row r="8" ht="15.75" customHeight="1">
      <c r="A8" s="9" t="s">
        <v>363</v>
      </c>
      <c r="B8" s="78">
        <v>3.78</v>
      </c>
      <c r="C8" s="78">
        <v>11.34</v>
      </c>
      <c r="D8" s="78">
        <v>292.0</v>
      </c>
      <c r="E8" s="9" t="s">
        <v>344</v>
      </c>
      <c r="F8" s="78">
        <v>369.1</v>
      </c>
      <c r="G8" s="78">
        <v>521.5</v>
      </c>
      <c r="H8" s="78">
        <v>673.9</v>
      </c>
      <c r="I8" s="78">
        <v>1131.1</v>
      </c>
      <c r="J8" s="78">
        <v>83.6</v>
      </c>
      <c r="K8" s="78">
        <v>124.6</v>
      </c>
      <c r="L8" s="78">
        <v>8.2</v>
      </c>
      <c r="M8" s="78">
        <v>30.13</v>
      </c>
      <c r="N8" s="9" t="s">
        <v>329</v>
      </c>
      <c r="O8" s="78">
        <v>22.2</v>
      </c>
      <c r="P8" s="9" t="s">
        <v>330</v>
      </c>
      <c r="Q8" s="78">
        <v>16.0</v>
      </c>
      <c r="R8" s="78">
        <v>16.0</v>
      </c>
      <c r="S8" s="78">
        <v>12.0</v>
      </c>
      <c r="T8" s="79"/>
      <c r="U8" s="25">
        <f t="shared" si="1"/>
        <v>152.4</v>
      </c>
      <c r="V8" s="25">
        <f t="shared" si="2"/>
        <v>457.2</v>
      </c>
      <c r="W8" s="25">
        <f t="shared" si="3"/>
        <v>216.7</v>
      </c>
      <c r="Y8" s="9" t="str">
        <f>IF(B8*1000&gt;=Loads!$B$34,"OK","LOW")</f>
        <v>OK</v>
      </c>
      <c r="Z8" s="9" t="str">
        <f>IF(C8*1000&gt;=Loads!$B$35,"OK","LOW")</f>
        <v>OK</v>
      </c>
      <c r="AA8" s="9" t="str">
        <f>IF(D8&gt;=Geometry!$B$21,"OK","SLOW")</f>
        <v>OK</v>
      </c>
      <c r="AB8" s="25">
        <f>MAX(U8,(Geometry!$B$26+Inputs!$B$34-W8-Inputs!$B$35)/2)</f>
        <v>152.4</v>
      </c>
      <c r="AC8" s="25">
        <f>MIN(V8,Geometry!$B$25-Inputs!$B$34-W8-Inputs!$B$35)</f>
        <v>83.5659342</v>
      </c>
      <c r="AD8" s="9" t="str">
        <f t="shared" si="4"/>
        <v>NO FIT</v>
      </c>
      <c r="AE8" s="9" t="str">
        <f>IF(Inputs!$B$5+J8/2&lt;=Inputs!$B$38,"OK","TOO WIDE")</f>
        <v>OK</v>
      </c>
      <c r="AF8" s="60" t="str">
        <f t="shared" si="5"/>
        <v>FAIL</v>
      </c>
      <c r="AH8" s="39">
        <f>Loads!$B$34/1000</f>
        <v>1.063451165</v>
      </c>
      <c r="AI8" s="39">
        <f>Loads!$B$35/1000</f>
        <v>3.158132871</v>
      </c>
    </row>
    <row r="9" ht="15.75" customHeight="1">
      <c r="A9" s="9" t="s">
        <v>367</v>
      </c>
      <c r="B9" s="78">
        <v>1.89</v>
      </c>
      <c r="C9" s="78">
        <v>5.69</v>
      </c>
      <c r="D9" s="78">
        <v>584.0</v>
      </c>
      <c r="E9" s="9" t="s">
        <v>344</v>
      </c>
      <c r="F9" s="78">
        <v>369.1</v>
      </c>
      <c r="G9" s="78">
        <v>521.5</v>
      </c>
      <c r="H9" s="78">
        <v>673.9</v>
      </c>
      <c r="I9" s="78">
        <v>1131.1</v>
      </c>
      <c r="J9" s="78">
        <v>83.6</v>
      </c>
      <c r="K9" s="78">
        <v>124.6</v>
      </c>
      <c r="L9" s="78">
        <v>8.2</v>
      </c>
      <c r="M9" s="78">
        <v>30.13</v>
      </c>
      <c r="N9" s="9" t="s">
        <v>329</v>
      </c>
      <c r="O9" s="78">
        <v>22.2</v>
      </c>
      <c r="P9" s="9" t="s">
        <v>330</v>
      </c>
      <c r="Q9" s="78">
        <v>16.0</v>
      </c>
      <c r="R9" s="78">
        <v>16.0</v>
      </c>
      <c r="S9" s="78">
        <v>12.0</v>
      </c>
      <c r="T9" s="79"/>
      <c r="U9" s="25">
        <f t="shared" si="1"/>
        <v>152.4</v>
      </c>
      <c r="V9" s="25">
        <f t="shared" si="2"/>
        <v>457.2</v>
      </c>
      <c r="W9" s="25">
        <f t="shared" si="3"/>
        <v>216.7</v>
      </c>
      <c r="Y9" s="9" t="str">
        <f>IF(B9*1000&gt;=Loads!$B$34,"OK","LOW")</f>
        <v>OK</v>
      </c>
      <c r="Z9" s="9" t="str">
        <f>IF(C9*1000&gt;=Loads!$B$35,"OK","LOW")</f>
        <v>OK</v>
      </c>
      <c r="AA9" s="9" t="str">
        <f>IF(D9&gt;=Geometry!$B$21,"OK","SLOW")</f>
        <v>OK</v>
      </c>
      <c r="AB9" s="25">
        <f>MAX(U9,(Geometry!$B$26+Inputs!$B$34-W9-Inputs!$B$35)/2)</f>
        <v>152.4</v>
      </c>
      <c r="AC9" s="25">
        <f>MIN(V9,Geometry!$B$25-Inputs!$B$34-W9-Inputs!$B$35)</f>
        <v>83.5659342</v>
      </c>
      <c r="AD9" s="9" t="str">
        <f t="shared" si="4"/>
        <v>NO FIT</v>
      </c>
      <c r="AE9" s="9" t="str">
        <f>IF(Inputs!$B$5+J9/2&lt;=Inputs!$B$38,"OK","TOO WIDE")</f>
        <v>OK</v>
      </c>
      <c r="AF9" s="60" t="str">
        <f t="shared" si="5"/>
        <v>FAIL</v>
      </c>
      <c r="AH9" s="39">
        <f>Loads!$B$34/1000</f>
        <v>1.063451165</v>
      </c>
      <c r="AI9" s="39">
        <f>Loads!$B$35/1000</f>
        <v>3.158132871</v>
      </c>
    </row>
    <row r="10" ht="15.75" customHeight="1">
      <c r="A10" s="9" t="s">
        <v>372</v>
      </c>
      <c r="B10" s="78">
        <v>7.78</v>
      </c>
      <c r="C10" s="78">
        <v>10.45</v>
      </c>
      <c r="D10" s="78">
        <v>267.0</v>
      </c>
      <c r="E10" s="9" t="s">
        <v>344</v>
      </c>
      <c r="F10" s="78">
        <v>414.9</v>
      </c>
      <c r="G10" s="78">
        <v>567.3</v>
      </c>
      <c r="H10" s="78">
        <v>719.7</v>
      </c>
      <c r="I10" s="78">
        <v>1176.9</v>
      </c>
      <c r="J10" s="78">
        <v>110.5</v>
      </c>
      <c r="K10" s="78">
        <v>151.4</v>
      </c>
      <c r="L10" s="78">
        <v>16.0</v>
      </c>
      <c r="M10" s="78">
        <v>38.08</v>
      </c>
      <c r="N10" s="9" t="s">
        <v>373</v>
      </c>
      <c r="O10" s="78">
        <v>25.9</v>
      </c>
      <c r="P10" s="9" t="s">
        <v>373</v>
      </c>
      <c r="Q10" s="78">
        <v>20.0</v>
      </c>
      <c r="R10" s="78">
        <v>20.0</v>
      </c>
      <c r="S10" s="78">
        <v>16.0</v>
      </c>
      <c r="T10" s="79"/>
      <c r="U10" s="25">
        <f t="shared" si="1"/>
        <v>152.4</v>
      </c>
      <c r="V10" s="25">
        <f t="shared" si="2"/>
        <v>457.2</v>
      </c>
      <c r="W10" s="25">
        <f t="shared" si="3"/>
        <v>262.5</v>
      </c>
      <c r="Y10" s="9" t="str">
        <f>IF(B10*1000&gt;=Loads!$B$34,"OK","LOW")</f>
        <v>OK</v>
      </c>
      <c r="Z10" s="9" t="str">
        <f>IF(C10*1000&gt;=Loads!$B$35,"OK","LOW")</f>
        <v>OK</v>
      </c>
      <c r="AA10" s="9" t="str">
        <f>IF(D10&gt;=Geometry!$B$21,"OK","SLOW")</f>
        <v>OK</v>
      </c>
      <c r="AB10" s="25">
        <f>MAX(U10,(Geometry!$B$26+Inputs!$B$34-W10-Inputs!$B$35)/2)</f>
        <v>152.4</v>
      </c>
      <c r="AC10" s="25">
        <f>MIN(V10,Geometry!$B$25-Inputs!$B$34-W10-Inputs!$B$35)</f>
        <v>37.7659342</v>
      </c>
      <c r="AD10" s="9" t="str">
        <f t="shared" si="4"/>
        <v>NO FIT</v>
      </c>
      <c r="AE10" s="9" t="str">
        <f>IF(Inputs!$B$5+J10/2&lt;=Inputs!$B$38,"OK","TOO WIDE")</f>
        <v>OK</v>
      </c>
      <c r="AF10" s="60" t="str">
        <f t="shared" si="5"/>
        <v>FAIL</v>
      </c>
      <c r="AH10" s="39">
        <f>Loads!$B$34/1000</f>
        <v>1.063451165</v>
      </c>
      <c r="AI10" s="39">
        <f>Loads!$B$35/1000</f>
        <v>3.158132871</v>
      </c>
    </row>
    <row r="11" ht="15.75" customHeight="1">
      <c r="A11" s="9" t="s">
        <v>377</v>
      </c>
      <c r="B11" s="78">
        <v>3.89</v>
      </c>
      <c r="C11" s="78">
        <v>11.03</v>
      </c>
      <c r="D11" s="78">
        <v>533.0</v>
      </c>
      <c r="E11" s="9" t="s">
        <v>344</v>
      </c>
      <c r="F11" s="78">
        <v>414.9</v>
      </c>
      <c r="G11" s="78">
        <v>567.3</v>
      </c>
      <c r="H11" s="78">
        <v>719.7</v>
      </c>
      <c r="I11" s="78">
        <v>1176.9</v>
      </c>
      <c r="J11" s="78">
        <v>110.5</v>
      </c>
      <c r="K11" s="78">
        <v>151.4</v>
      </c>
      <c r="L11" s="78">
        <v>16.0</v>
      </c>
      <c r="M11" s="78">
        <v>38.08</v>
      </c>
      <c r="N11" s="9" t="s">
        <v>373</v>
      </c>
      <c r="O11" s="78">
        <v>25.9</v>
      </c>
      <c r="P11" s="9" t="s">
        <v>373</v>
      </c>
      <c r="Q11" s="78">
        <v>20.0</v>
      </c>
      <c r="R11" s="78">
        <v>20.0</v>
      </c>
      <c r="S11" s="78">
        <v>16.0</v>
      </c>
      <c r="T11" s="79"/>
      <c r="U11" s="25">
        <f t="shared" si="1"/>
        <v>152.4</v>
      </c>
      <c r="V11" s="25">
        <f t="shared" si="2"/>
        <v>457.2</v>
      </c>
      <c r="W11" s="25">
        <f t="shared" si="3"/>
        <v>262.5</v>
      </c>
      <c r="Y11" s="9" t="str">
        <f>IF(B11*1000&gt;=Loads!$B$34,"OK","LOW")</f>
        <v>OK</v>
      </c>
      <c r="Z11" s="9" t="str">
        <f>IF(C11*1000&gt;=Loads!$B$35,"OK","LOW")</f>
        <v>OK</v>
      </c>
      <c r="AA11" s="9" t="str">
        <f>IF(D11&gt;=Geometry!$B$21,"OK","SLOW")</f>
        <v>OK</v>
      </c>
      <c r="AB11" s="25">
        <f>MAX(U11,(Geometry!$B$26+Inputs!$B$34-W11-Inputs!$B$35)/2)</f>
        <v>152.4</v>
      </c>
      <c r="AC11" s="25">
        <f>MIN(V11,Geometry!$B$25-Inputs!$B$34-W11-Inputs!$B$35)</f>
        <v>37.7659342</v>
      </c>
      <c r="AD11" s="9" t="str">
        <f t="shared" si="4"/>
        <v>NO FIT</v>
      </c>
      <c r="AE11" s="9" t="str">
        <f>IF(Inputs!$B$5+J11/2&lt;=Inputs!$B$38,"OK","TOO WIDE")</f>
        <v>OK</v>
      </c>
      <c r="AF11" s="60" t="str">
        <f t="shared" si="5"/>
        <v>FAIL</v>
      </c>
      <c r="AH11" s="39">
        <f>Loads!$B$34/1000</f>
        <v>1.063451165</v>
      </c>
      <c r="AI11" s="39">
        <f>Loads!$B$35/1000</f>
        <v>3.158132871</v>
      </c>
    </row>
    <row r="12" ht="15.75" customHeight="1">
      <c r="A12" s="9" t="s">
        <v>384</v>
      </c>
      <c r="B12" s="78">
        <v>1.56</v>
      </c>
      <c r="C12" s="78">
        <v>4.67</v>
      </c>
      <c r="D12" s="78">
        <v>1334.0</v>
      </c>
      <c r="E12" s="9" t="s">
        <v>344</v>
      </c>
      <c r="F12" s="78">
        <v>414.9</v>
      </c>
      <c r="G12" s="78">
        <v>567.3</v>
      </c>
      <c r="H12" s="78">
        <v>719.7</v>
      </c>
      <c r="I12" s="78">
        <v>1176.9</v>
      </c>
      <c r="J12" s="78">
        <v>110.5</v>
      </c>
      <c r="K12" s="78">
        <v>151.4</v>
      </c>
      <c r="L12" s="78">
        <v>16.0</v>
      </c>
      <c r="M12" s="78">
        <v>38.08</v>
      </c>
      <c r="N12" s="9" t="s">
        <v>373</v>
      </c>
      <c r="O12" s="78">
        <v>25.9</v>
      </c>
      <c r="P12" s="9" t="s">
        <v>373</v>
      </c>
      <c r="Q12" s="78">
        <v>20.0</v>
      </c>
      <c r="R12" s="78">
        <v>20.0</v>
      </c>
      <c r="S12" s="78">
        <v>16.0</v>
      </c>
      <c r="T12" s="79"/>
      <c r="U12" s="25">
        <f t="shared" si="1"/>
        <v>152.4</v>
      </c>
      <c r="V12" s="25">
        <f t="shared" si="2"/>
        <v>457.2</v>
      </c>
      <c r="W12" s="25">
        <f t="shared" si="3"/>
        <v>262.5</v>
      </c>
      <c r="Y12" s="9" t="str">
        <f>IF(B12*1000&gt;=Loads!$B$34,"OK","LOW")</f>
        <v>OK</v>
      </c>
      <c r="Z12" s="9" t="str">
        <f>IF(C12*1000&gt;=Loads!$B$35,"OK","LOW")</f>
        <v>OK</v>
      </c>
      <c r="AA12" s="9" t="str">
        <f>IF(D12&gt;=Geometry!$B$21,"OK","SLOW")</f>
        <v>OK</v>
      </c>
      <c r="AB12" s="25">
        <f>MAX(U12,(Geometry!$B$26+Inputs!$B$34-W12-Inputs!$B$35)/2)</f>
        <v>152.4</v>
      </c>
      <c r="AC12" s="25">
        <f>MIN(V12,Geometry!$B$25-Inputs!$B$34-W12-Inputs!$B$35)</f>
        <v>37.7659342</v>
      </c>
      <c r="AD12" s="9" t="str">
        <f t="shared" si="4"/>
        <v>NO FIT</v>
      </c>
      <c r="AE12" s="9" t="str">
        <f>IF(Inputs!$B$5+J12/2&lt;=Inputs!$B$38,"OK","TOO WIDE")</f>
        <v>OK</v>
      </c>
      <c r="AF12" s="60" t="str">
        <f t="shared" si="5"/>
        <v>FAIL</v>
      </c>
      <c r="AH12" s="39">
        <f>Loads!$B$34/1000</f>
        <v>1.063451165</v>
      </c>
      <c r="AI12" s="39">
        <f>Loads!$B$35/1000</f>
        <v>3.158132871</v>
      </c>
    </row>
    <row r="13" ht="15.75" customHeight="1">
      <c r="A13" s="9" t="s">
        <v>407</v>
      </c>
      <c r="B13" s="78">
        <v>9.34</v>
      </c>
      <c r="C13" s="78">
        <v>18.46</v>
      </c>
      <c r="D13" s="78">
        <v>234.0</v>
      </c>
      <c r="E13" s="9" t="s">
        <v>344</v>
      </c>
      <c r="F13" s="78">
        <v>414.9</v>
      </c>
      <c r="G13" s="78">
        <v>567.3</v>
      </c>
      <c r="H13" s="78">
        <v>719.7</v>
      </c>
      <c r="I13" s="78">
        <v>1176.9</v>
      </c>
      <c r="J13" s="78">
        <v>110.5</v>
      </c>
      <c r="K13" s="78">
        <v>151.4</v>
      </c>
      <c r="L13" s="78">
        <v>16.0</v>
      </c>
      <c r="M13" s="78">
        <v>38.08</v>
      </c>
      <c r="N13" s="9" t="s">
        <v>373</v>
      </c>
      <c r="O13" s="78">
        <v>25.9</v>
      </c>
      <c r="P13" s="9" t="s">
        <v>373</v>
      </c>
      <c r="Q13" s="78">
        <v>20.0</v>
      </c>
      <c r="R13" s="78">
        <v>20.0</v>
      </c>
      <c r="S13" s="78">
        <v>16.0</v>
      </c>
      <c r="T13" s="79"/>
      <c r="U13" s="25">
        <f t="shared" si="1"/>
        <v>152.4</v>
      </c>
      <c r="V13" s="25">
        <f t="shared" si="2"/>
        <v>457.2</v>
      </c>
      <c r="W13" s="25">
        <f t="shared" si="3"/>
        <v>262.5</v>
      </c>
      <c r="Y13" s="9" t="str">
        <f>IF(B13*1000&gt;=Loads!$B$34,"OK","LOW")</f>
        <v>OK</v>
      </c>
      <c r="Z13" s="9" t="str">
        <f>IF(C13*1000&gt;=Loads!$B$35,"OK","LOW")</f>
        <v>OK</v>
      </c>
      <c r="AA13" s="9" t="str">
        <f>IF(D13&gt;=Geometry!$B$21,"OK","SLOW")</f>
        <v>OK</v>
      </c>
      <c r="AB13" s="25">
        <f>MAX(U13,(Geometry!$B$26+Inputs!$B$34-W13-Inputs!$B$35)/2)</f>
        <v>152.4</v>
      </c>
      <c r="AC13" s="25">
        <f>MIN(V13,Geometry!$B$25-Inputs!$B$34-W13-Inputs!$B$35)</f>
        <v>37.7659342</v>
      </c>
      <c r="AD13" s="9" t="str">
        <f t="shared" si="4"/>
        <v>NO FIT</v>
      </c>
      <c r="AE13" s="9" t="str">
        <f>IF(Inputs!$B$5+J13/2&lt;=Inputs!$B$38,"OK","TOO WIDE")</f>
        <v>OK</v>
      </c>
      <c r="AF13" s="60" t="str">
        <f t="shared" si="5"/>
        <v>FAIL</v>
      </c>
      <c r="AH13" s="39">
        <f>Loads!$B$34/1000</f>
        <v>1.063451165</v>
      </c>
      <c r="AI13" s="39">
        <f>Loads!$B$35/1000</f>
        <v>3.158132871</v>
      </c>
    </row>
    <row r="14" ht="15.75" customHeight="1">
      <c r="A14" s="9" t="s">
        <v>415</v>
      </c>
      <c r="B14" s="78">
        <v>7.34</v>
      </c>
      <c r="C14" s="78">
        <v>17.13</v>
      </c>
      <c r="D14" s="78">
        <v>292.0</v>
      </c>
      <c r="E14" s="9" t="s">
        <v>344</v>
      </c>
      <c r="F14" s="78">
        <v>414.9</v>
      </c>
      <c r="G14" s="78">
        <v>567.3</v>
      </c>
      <c r="H14" s="78">
        <v>719.7</v>
      </c>
      <c r="I14" s="78">
        <v>1176.9</v>
      </c>
      <c r="J14" s="78">
        <v>110.5</v>
      </c>
      <c r="K14" s="78">
        <v>151.4</v>
      </c>
      <c r="L14" s="78">
        <v>16.0</v>
      </c>
      <c r="M14" s="78">
        <v>38.08</v>
      </c>
      <c r="N14" s="9" t="s">
        <v>373</v>
      </c>
      <c r="O14" s="78">
        <v>25.9</v>
      </c>
      <c r="P14" s="9" t="s">
        <v>373</v>
      </c>
      <c r="Q14" s="78">
        <v>20.0</v>
      </c>
      <c r="R14" s="78">
        <v>20.0</v>
      </c>
      <c r="S14" s="78">
        <v>16.0</v>
      </c>
      <c r="T14" s="79"/>
      <c r="U14" s="25">
        <f t="shared" si="1"/>
        <v>152.4</v>
      </c>
      <c r="V14" s="25">
        <f t="shared" si="2"/>
        <v>457.2</v>
      </c>
      <c r="W14" s="25">
        <f t="shared" si="3"/>
        <v>262.5</v>
      </c>
      <c r="Y14" s="9" t="str">
        <f>IF(B14*1000&gt;=Loads!$B$34,"OK","LOW")</f>
        <v>OK</v>
      </c>
      <c r="Z14" s="9" t="str">
        <f>IF(C14*1000&gt;=Loads!$B$35,"OK","LOW")</f>
        <v>OK</v>
      </c>
      <c r="AA14" s="9" t="str">
        <f>IF(D14&gt;=Geometry!$B$21,"OK","SLOW")</f>
        <v>OK</v>
      </c>
      <c r="AB14" s="25">
        <f>MAX(U14,(Geometry!$B$26+Inputs!$B$34-W14-Inputs!$B$35)/2)</f>
        <v>152.4</v>
      </c>
      <c r="AC14" s="25">
        <f>MIN(V14,Geometry!$B$25-Inputs!$B$34-W14-Inputs!$B$35)</f>
        <v>37.7659342</v>
      </c>
      <c r="AD14" s="9" t="str">
        <f t="shared" si="4"/>
        <v>NO FIT</v>
      </c>
      <c r="AE14" s="9" t="str">
        <f>IF(Inputs!$B$5+J14/2&lt;=Inputs!$B$38,"OK","TOO WIDE")</f>
        <v>OK</v>
      </c>
      <c r="AF14" s="60" t="str">
        <f t="shared" si="5"/>
        <v>FAIL</v>
      </c>
      <c r="AH14" s="39">
        <f>Loads!$B$34/1000</f>
        <v>1.063451165</v>
      </c>
      <c r="AI14" s="39">
        <f>Loads!$B$35/1000</f>
        <v>3.158132871</v>
      </c>
    </row>
    <row r="15" ht="15.75" customHeight="1">
      <c r="A15" s="9" t="s">
        <v>418</v>
      </c>
      <c r="B15" s="78">
        <v>3.67</v>
      </c>
      <c r="C15" s="78">
        <v>11.03</v>
      </c>
      <c r="D15" s="78">
        <v>584.0</v>
      </c>
      <c r="E15" s="9" t="s">
        <v>344</v>
      </c>
      <c r="F15" s="78">
        <v>414.9</v>
      </c>
      <c r="G15" s="78">
        <v>567.3</v>
      </c>
      <c r="H15" s="78">
        <v>719.7</v>
      </c>
      <c r="I15" s="78">
        <v>1176.9</v>
      </c>
      <c r="J15" s="78">
        <v>110.5</v>
      </c>
      <c r="K15" s="78">
        <v>151.4</v>
      </c>
      <c r="L15" s="78">
        <v>16.0</v>
      </c>
      <c r="M15" s="78">
        <v>38.08</v>
      </c>
      <c r="N15" s="9" t="s">
        <v>373</v>
      </c>
      <c r="O15" s="78">
        <v>25.9</v>
      </c>
      <c r="P15" s="9" t="s">
        <v>373</v>
      </c>
      <c r="Q15" s="78">
        <v>20.0</v>
      </c>
      <c r="R15" s="78">
        <v>20.0</v>
      </c>
      <c r="S15" s="78">
        <v>16.0</v>
      </c>
      <c r="T15" s="79"/>
      <c r="U15" s="25">
        <f t="shared" si="1"/>
        <v>152.4</v>
      </c>
      <c r="V15" s="25">
        <f t="shared" si="2"/>
        <v>457.2</v>
      </c>
      <c r="W15" s="25">
        <f t="shared" si="3"/>
        <v>262.5</v>
      </c>
      <c r="Y15" s="9" t="str">
        <f>IF(B15*1000&gt;=Loads!$B$34,"OK","LOW")</f>
        <v>OK</v>
      </c>
      <c r="Z15" s="9" t="str">
        <f>IF(C15*1000&gt;=Loads!$B$35,"OK","LOW")</f>
        <v>OK</v>
      </c>
      <c r="AA15" s="9" t="str">
        <f>IF(D15&gt;=Geometry!$B$21,"OK","SLOW")</f>
        <v>OK</v>
      </c>
      <c r="AB15" s="25">
        <f>MAX(U15,(Geometry!$B$26+Inputs!$B$34-W15-Inputs!$B$35)/2)</f>
        <v>152.4</v>
      </c>
      <c r="AC15" s="25">
        <f>MIN(V15,Geometry!$B$25-Inputs!$B$34-W15-Inputs!$B$35)</f>
        <v>37.7659342</v>
      </c>
      <c r="AD15" s="9" t="str">
        <f t="shared" si="4"/>
        <v>NO FIT</v>
      </c>
      <c r="AE15" s="9" t="str">
        <f>IF(Inputs!$B$5+J15/2&lt;=Inputs!$B$38,"OK","TOO WIDE")</f>
        <v>OK</v>
      </c>
      <c r="AF15" s="60" t="str">
        <f t="shared" si="5"/>
        <v>FAIL</v>
      </c>
      <c r="AH15" s="39">
        <f>Loads!$B$34/1000</f>
        <v>1.063451165</v>
      </c>
      <c r="AI15" s="39">
        <f>Loads!$B$35/1000</f>
        <v>3.158132871</v>
      </c>
    </row>
    <row r="16" ht="15.75" customHeight="1">
      <c r="A16" s="9" t="s">
        <v>438</v>
      </c>
      <c r="B16" s="78">
        <v>13.12</v>
      </c>
      <c r="C16" s="78">
        <v>17.39</v>
      </c>
      <c r="D16" s="78">
        <v>167.0</v>
      </c>
      <c r="E16" s="9" t="s">
        <v>344</v>
      </c>
      <c r="F16" s="78">
        <v>492.4</v>
      </c>
      <c r="G16" s="78">
        <v>644.8</v>
      </c>
      <c r="H16" s="78">
        <v>797.2</v>
      </c>
      <c r="I16" s="78">
        <v>1254.4</v>
      </c>
      <c r="J16" s="78">
        <v>143.6</v>
      </c>
      <c r="K16" s="78">
        <v>184.3</v>
      </c>
      <c r="L16" s="78">
        <v>30.5</v>
      </c>
      <c r="M16" s="78">
        <v>57.13</v>
      </c>
      <c r="N16" s="9" t="s">
        <v>444</v>
      </c>
      <c r="O16" s="78">
        <v>38.1</v>
      </c>
      <c r="P16" s="9" t="s">
        <v>444</v>
      </c>
      <c r="Q16" s="78">
        <v>30.0</v>
      </c>
      <c r="R16" s="78">
        <v>30.0</v>
      </c>
      <c r="S16" s="78">
        <v>20.0</v>
      </c>
      <c r="T16" s="79"/>
      <c r="U16" s="25">
        <f t="shared" si="1"/>
        <v>152.4</v>
      </c>
      <c r="V16" s="25">
        <f t="shared" si="2"/>
        <v>457.2</v>
      </c>
      <c r="W16" s="25">
        <f t="shared" si="3"/>
        <v>340</v>
      </c>
      <c r="Y16" s="9" t="str">
        <f>IF(B16*1000&gt;=Loads!$B$34,"OK","LOW")</f>
        <v>OK</v>
      </c>
      <c r="Z16" s="9" t="str">
        <f>IF(C16*1000&gt;=Loads!$B$35,"OK","LOW")</f>
        <v>OK</v>
      </c>
      <c r="AA16" s="9" t="str">
        <f>IF(D16&gt;=Geometry!$B$21,"OK","SLOW")</f>
        <v>OK</v>
      </c>
      <c r="AB16" s="25">
        <f>MAX(U16,(Geometry!$B$26+Inputs!$B$34-W16-Inputs!$B$35)/2)</f>
        <v>152.4</v>
      </c>
      <c r="AC16" s="25">
        <f>MIN(V16,Geometry!$B$25-Inputs!$B$34-W16-Inputs!$B$35)</f>
        <v>-39.7340658</v>
      </c>
      <c r="AD16" s="9" t="str">
        <f t="shared" si="4"/>
        <v>NO FIT</v>
      </c>
      <c r="AE16" s="9" t="str">
        <f>IF(Inputs!$B$5+J16/2&lt;=Inputs!$B$38,"OK","TOO WIDE")</f>
        <v>OK</v>
      </c>
      <c r="AF16" s="60" t="str">
        <f t="shared" si="5"/>
        <v>FAIL</v>
      </c>
      <c r="AH16" s="39">
        <f>Loads!$B$34/1000</f>
        <v>1.063451165</v>
      </c>
      <c r="AI16" s="39">
        <f>Loads!$B$35/1000</f>
        <v>3.158132871</v>
      </c>
    </row>
    <row r="17" ht="15.75" customHeight="1">
      <c r="A17" s="9" t="s">
        <v>450</v>
      </c>
      <c r="B17" s="78">
        <v>6.58</v>
      </c>
      <c r="C17" s="78">
        <v>16.41</v>
      </c>
      <c r="D17" s="78">
        <v>333.0</v>
      </c>
      <c r="E17" s="9" t="s">
        <v>344</v>
      </c>
      <c r="F17" s="78">
        <v>492.4</v>
      </c>
      <c r="G17" s="78">
        <v>644.8</v>
      </c>
      <c r="H17" s="78">
        <v>797.2</v>
      </c>
      <c r="I17" s="78">
        <v>1254.4</v>
      </c>
      <c r="J17" s="78">
        <v>143.6</v>
      </c>
      <c r="K17" s="78">
        <v>184.3</v>
      </c>
      <c r="L17" s="78">
        <v>30.5</v>
      </c>
      <c r="M17" s="78">
        <v>57.13</v>
      </c>
      <c r="N17" s="9" t="s">
        <v>444</v>
      </c>
      <c r="O17" s="78">
        <v>38.1</v>
      </c>
      <c r="P17" s="9" t="s">
        <v>444</v>
      </c>
      <c r="Q17" s="78">
        <v>30.0</v>
      </c>
      <c r="R17" s="78">
        <v>30.0</v>
      </c>
      <c r="S17" s="78">
        <v>20.0</v>
      </c>
      <c r="T17" s="79"/>
      <c r="U17" s="25">
        <f t="shared" si="1"/>
        <v>152.4</v>
      </c>
      <c r="V17" s="25">
        <f t="shared" si="2"/>
        <v>457.2</v>
      </c>
      <c r="W17" s="25">
        <f t="shared" si="3"/>
        <v>340</v>
      </c>
      <c r="Y17" s="9" t="str">
        <f>IF(B17*1000&gt;=Loads!$B$34,"OK","LOW")</f>
        <v>OK</v>
      </c>
      <c r="Z17" s="9" t="str">
        <f>IF(C17*1000&gt;=Loads!$B$35,"OK","LOW")</f>
        <v>OK</v>
      </c>
      <c r="AA17" s="9" t="str">
        <f>IF(D17&gt;=Geometry!$B$21,"OK","SLOW")</f>
        <v>OK</v>
      </c>
      <c r="AB17" s="25">
        <f>MAX(U17,(Geometry!$B$26+Inputs!$B$34-W17-Inputs!$B$35)/2)</f>
        <v>152.4</v>
      </c>
      <c r="AC17" s="25">
        <f>MIN(V17,Geometry!$B$25-Inputs!$B$34-W17-Inputs!$B$35)</f>
        <v>-39.7340658</v>
      </c>
      <c r="AD17" s="9" t="str">
        <f t="shared" si="4"/>
        <v>NO FIT</v>
      </c>
      <c r="AE17" s="9" t="str">
        <f>IF(Inputs!$B$5+J17/2&lt;=Inputs!$B$38,"OK","TOO WIDE")</f>
        <v>OK</v>
      </c>
      <c r="AF17" s="60" t="str">
        <f t="shared" si="5"/>
        <v>FAIL</v>
      </c>
      <c r="AH17" s="39">
        <f>Loads!$B$34/1000</f>
        <v>1.063451165</v>
      </c>
      <c r="AI17" s="39">
        <f>Loads!$B$35/1000</f>
        <v>3.158132871</v>
      </c>
    </row>
    <row r="18" ht="15.75" customHeight="1">
      <c r="A18" s="9" t="s">
        <v>456</v>
      </c>
      <c r="B18" s="78">
        <v>3.28</v>
      </c>
      <c r="C18" s="78">
        <v>8.23</v>
      </c>
      <c r="D18" s="78">
        <v>667.0</v>
      </c>
      <c r="E18" s="9" t="s">
        <v>344</v>
      </c>
      <c r="F18" s="78">
        <v>492.4</v>
      </c>
      <c r="G18" s="78">
        <v>644.8</v>
      </c>
      <c r="H18" s="78">
        <v>797.2</v>
      </c>
      <c r="I18" s="78">
        <v>1254.4</v>
      </c>
      <c r="J18" s="78">
        <v>143.6</v>
      </c>
      <c r="K18" s="78">
        <v>184.3</v>
      </c>
      <c r="L18" s="78">
        <v>30.5</v>
      </c>
      <c r="M18" s="78">
        <v>57.13</v>
      </c>
      <c r="N18" s="9" t="s">
        <v>444</v>
      </c>
      <c r="O18" s="78">
        <v>38.1</v>
      </c>
      <c r="P18" s="9" t="s">
        <v>444</v>
      </c>
      <c r="Q18" s="78">
        <v>30.0</v>
      </c>
      <c r="R18" s="78">
        <v>30.0</v>
      </c>
      <c r="S18" s="78">
        <v>20.0</v>
      </c>
      <c r="T18" s="79"/>
      <c r="U18" s="25">
        <f t="shared" si="1"/>
        <v>152.4</v>
      </c>
      <c r="V18" s="25">
        <f t="shared" si="2"/>
        <v>457.2</v>
      </c>
      <c r="W18" s="25">
        <f t="shared" si="3"/>
        <v>340</v>
      </c>
      <c r="Y18" s="9" t="str">
        <f>IF(B18*1000&gt;=Loads!$B$34,"OK","LOW")</f>
        <v>OK</v>
      </c>
      <c r="Z18" s="9" t="str">
        <f>IF(C18*1000&gt;=Loads!$B$35,"OK","LOW")</f>
        <v>OK</v>
      </c>
      <c r="AA18" s="9" t="str">
        <f>IF(D18&gt;=Geometry!$B$21,"OK","SLOW")</f>
        <v>OK</v>
      </c>
      <c r="AB18" s="25">
        <f>MAX(U18,(Geometry!$B$26+Inputs!$B$34-W18-Inputs!$B$35)/2)</f>
        <v>152.4</v>
      </c>
      <c r="AC18" s="25">
        <f>MIN(V18,Geometry!$B$25-Inputs!$B$34-W18-Inputs!$B$35)</f>
        <v>-39.7340658</v>
      </c>
      <c r="AD18" s="9" t="str">
        <f t="shared" si="4"/>
        <v>NO FIT</v>
      </c>
      <c r="AE18" s="9" t="str">
        <f>IF(Inputs!$B$5+J18/2&lt;=Inputs!$B$38,"OK","TOO WIDE")</f>
        <v>OK</v>
      </c>
      <c r="AF18" s="60" t="str">
        <f t="shared" si="5"/>
        <v>FAIL</v>
      </c>
      <c r="AH18" s="39">
        <f>Loads!$B$34/1000</f>
        <v>1.063451165</v>
      </c>
      <c r="AI18" s="39">
        <f>Loads!$B$35/1000</f>
        <v>3.158132871</v>
      </c>
    </row>
    <row r="19" ht="15.75" customHeight="1">
      <c r="A19" s="9" t="s">
        <v>462</v>
      </c>
      <c r="B19" s="78">
        <v>12.23</v>
      </c>
      <c r="C19" s="78">
        <v>35.81</v>
      </c>
      <c r="D19" s="78">
        <v>201.0</v>
      </c>
      <c r="E19" s="9" t="s">
        <v>344</v>
      </c>
      <c r="F19" s="78">
        <v>492.4</v>
      </c>
      <c r="G19" s="78">
        <v>644.8</v>
      </c>
      <c r="H19" s="78">
        <v>797.2</v>
      </c>
      <c r="I19" s="78">
        <v>1254.4</v>
      </c>
      <c r="J19" s="78">
        <v>143.6</v>
      </c>
      <c r="K19" s="78">
        <v>184.3</v>
      </c>
      <c r="L19" s="78">
        <v>30.5</v>
      </c>
      <c r="M19" s="78">
        <v>57.13</v>
      </c>
      <c r="N19" s="9" t="s">
        <v>444</v>
      </c>
      <c r="O19" s="78">
        <v>38.1</v>
      </c>
      <c r="P19" s="9" t="s">
        <v>444</v>
      </c>
      <c r="Q19" s="78">
        <v>30.0</v>
      </c>
      <c r="R19" s="78">
        <v>30.0</v>
      </c>
      <c r="S19" s="78">
        <v>20.0</v>
      </c>
      <c r="T19" s="79"/>
      <c r="U19" s="25">
        <f t="shared" si="1"/>
        <v>152.4</v>
      </c>
      <c r="V19" s="25">
        <f t="shared" si="2"/>
        <v>457.2</v>
      </c>
      <c r="W19" s="25">
        <f t="shared" si="3"/>
        <v>340</v>
      </c>
      <c r="Y19" s="9" t="str">
        <f>IF(B19*1000&gt;=Loads!$B$34,"OK","LOW")</f>
        <v>OK</v>
      </c>
      <c r="Z19" s="9" t="str">
        <f>IF(C19*1000&gt;=Loads!$B$35,"OK","LOW")</f>
        <v>OK</v>
      </c>
      <c r="AA19" s="9" t="str">
        <f>IF(D19&gt;=Geometry!$B$21,"OK","SLOW")</f>
        <v>OK</v>
      </c>
      <c r="AB19" s="25">
        <f>MAX(U19,(Geometry!$B$26+Inputs!$B$34-W19-Inputs!$B$35)/2)</f>
        <v>152.4</v>
      </c>
      <c r="AC19" s="25">
        <f>MIN(V19,Geometry!$B$25-Inputs!$B$34-W19-Inputs!$B$35)</f>
        <v>-39.7340658</v>
      </c>
      <c r="AD19" s="9" t="str">
        <f t="shared" si="4"/>
        <v>NO FIT</v>
      </c>
      <c r="AE19" s="9" t="str">
        <f>IF(Inputs!$B$5+J19/2&lt;=Inputs!$B$38,"OK","TOO WIDE")</f>
        <v>OK</v>
      </c>
      <c r="AF19" s="60" t="str">
        <f t="shared" si="5"/>
        <v>FAIL</v>
      </c>
      <c r="AH19" s="39">
        <f>Loads!$B$34/1000</f>
        <v>1.063451165</v>
      </c>
      <c r="AI19" s="39">
        <f>Loads!$B$35/1000</f>
        <v>3.158132871</v>
      </c>
    </row>
    <row r="20" ht="15.75" customHeight="1">
      <c r="A20" s="9" t="s">
        <v>477</v>
      </c>
      <c r="B20" s="78">
        <v>6.14</v>
      </c>
      <c r="C20" s="78">
        <v>17.93</v>
      </c>
      <c r="D20" s="78">
        <v>399.0</v>
      </c>
      <c r="E20" s="9" t="s">
        <v>344</v>
      </c>
      <c r="F20" s="78">
        <v>492.4</v>
      </c>
      <c r="G20" s="78">
        <v>644.8</v>
      </c>
      <c r="H20" s="78">
        <v>797.2</v>
      </c>
      <c r="I20" s="78">
        <v>1254.4</v>
      </c>
      <c r="J20" s="78">
        <v>143.6</v>
      </c>
      <c r="K20" s="78">
        <v>184.3</v>
      </c>
      <c r="L20" s="78">
        <v>30.5</v>
      </c>
      <c r="M20" s="78">
        <v>57.13</v>
      </c>
      <c r="N20" s="9" t="s">
        <v>444</v>
      </c>
      <c r="O20" s="78">
        <v>38.1</v>
      </c>
      <c r="P20" s="9" t="s">
        <v>444</v>
      </c>
      <c r="Q20" s="78">
        <v>30.0</v>
      </c>
      <c r="R20" s="78">
        <v>30.0</v>
      </c>
      <c r="S20" s="78">
        <v>20.0</v>
      </c>
      <c r="T20" s="79"/>
      <c r="U20" s="25">
        <f t="shared" si="1"/>
        <v>152.4</v>
      </c>
      <c r="V20" s="25">
        <f t="shared" si="2"/>
        <v>457.2</v>
      </c>
      <c r="W20" s="25">
        <f t="shared" si="3"/>
        <v>340</v>
      </c>
      <c r="Y20" s="9" t="str">
        <f>IF(B20*1000&gt;=Loads!$B$34,"OK","LOW")</f>
        <v>OK</v>
      </c>
      <c r="Z20" s="9" t="str">
        <f>IF(C20*1000&gt;=Loads!$B$35,"OK","LOW")</f>
        <v>OK</v>
      </c>
      <c r="AA20" s="9" t="str">
        <f>IF(D20&gt;=Geometry!$B$21,"OK","SLOW")</f>
        <v>OK</v>
      </c>
      <c r="AB20" s="25">
        <f>MAX(U20,(Geometry!$B$26+Inputs!$B$34-W20-Inputs!$B$35)/2)</f>
        <v>152.4</v>
      </c>
      <c r="AC20" s="25">
        <f>MIN(V20,Geometry!$B$25-Inputs!$B$34-W20-Inputs!$B$35)</f>
        <v>-39.7340658</v>
      </c>
      <c r="AD20" s="9" t="str">
        <f t="shared" si="4"/>
        <v>NO FIT</v>
      </c>
      <c r="AE20" s="9" t="str">
        <f>IF(Inputs!$B$5+J20/2&lt;=Inputs!$B$38,"OK","TOO WIDE")</f>
        <v>OK</v>
      </c>
      <c r="AF20" s="60" t="str">
        <f t="shared" si="5"/>
        <v>FAIL</v>
      </c>
      <c r="AH20" s="39">
        <f>Loads!$B$34/1000</f>
        <v>1.063451165</v>
      </c>
      <c r="AI20" s="39">
        <f>Loads!$B$35/1000</f>
        <v>3.158132871</v>
      </c>
    </row>
    <row r="21" ht="15.75" customHeight="1"/>
    <row r="22" ht="15.75" customHeight="1">
      <c r="A22" s="2" t="s">
        <v>485</v>
      </c>
    </row>
    <row r="23" ht="15.75" customHeight="1">
      <c r="A23" s="2" t="s">
        <v>487</v>
      </c>
    </row>
    <row r="24" ht="15.75" customHeight="1">
      <c r="A24" s="2" t="s">
        <v>488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Y2:AF20">
    <cfRule type="expression" dxfId="0" priority="1">
      <formula>OR(Y2="OK",Y2="PASS")</formula>
    </cfRule>
  </conditionalFormatting>
  <conditionalFormatting sqref="Y2:AF20">
    <cfRule type="expression" dxfId="1" priority="2">
      <formula>OR(Y2="FAIL",Y2="LOW",Y2="SLOW",Y2="NO FIT",Y2="TOO WIDE",Y2="NO")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9A9A"/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2.63"/>
    <col customWidth="1" min="3" max="3" width="21.88"/>
    <col customWidth="1" min="4" max="4" width="12.63"/>
    <col customWidth="1" min="5" max="5" width="56.63"/>
    <col customWidth="1" min="6" max="6" width="12.63"/>
    <col customWidth="1" min="8" max="8" width="16.75"/>
  </cols>
  <sheetData>
    <row r="1" ht="15.75" customHeight="1">
      <c r="A1" s="83" t="s">
        <v>417</v>
      </c>
      <c r="B1" s="84"/>
      <c r="C1" s="85"/>
      <c r="D1" s="86"/>
      <c r="E1" s="87" t="s">
        <v>419</v>
      </c>
      <c r="F1" s="87" t="s">
        <v>20</v>
      </c>
      <c r="G1" s="87" t="s">
        <v>21</v>
      </c>
      <c r="H1" s="87"/>
      <c r="I1" s="87"/>
    </row>
    <row r="2" ht="15.75" customHeight="1">
      <c r="A2" s="88" t="s">
        <v>420</v>
      </c>
      <c r="B2" s="89">
        <v>2000.0</v>
      </c>
      <c r="C2" s="90" t="s">
        <v>89</v>
      </c>
      <c r="D2" s="86"/>
      <c r="E2" s="91" t="s">
        <v>423</v>
      </c>
      <c r="F2" s="91">
        <f>B5/2</f>
        <v>101.5</v>
      </c>
      <c r="G2" s="91">
        <v>100.0</v>
      </c>
      <c r="H2" s="92" t="s">
        <v>426</v>
      </c>
      <c r="I2" s="92">
        <f>SQRT(F2^2 + G2^2)</f>
        <v>142.4859642</v>
      </c>
    </row>
    <row r="3" ht="15.75" customHeight="1">
      <c r="A3" s="88" t="s">
        <v>428</v>
      </c>
      <c r="B3" s="89">
        <v>20.0</v>
      </c>
      <c r="C3" s="90" t="s">
        <v>85</v>
      </c>
      <c r="D3" s="86"/>
      <c r="E3" s="92" t="s">
        <v>429</v>
      </c>
      <c r="F3" s="92">
        <v>0.0</v>
      </c>
      <c r="G3" s="92">
        <v>0.0</v>
      </c>
      <c r="H3" s="92"/>
      <c r="I3" s="92"/>
    </row>
    <row r="4" ht="15.75" customHeight="1">
      <c r="A4" s="88" t="s">
        <v>431</v>
      </c>
      <c r="B4" s="89">
        <v>30.0</v>
      </c>
      <c r="C4" s="90" t="s">
        <v>432</v>
      </c>
      <c r="D4" s="86"/>
      <c r="E4" s="91" t="s">
        <v>433</v>
      </c>
      <c r="F4" s="91">
        <v>75.0</v>
      </c>
      <c r="G4" s="91">
        <v>-150.0</v>
      </c>
      <c r="H4" s="92"/>
      <c r="I4" s="92"/>
    </row>
    <row r="5" ht="15.75" customHeight="1">
      <c r="A5" s="93" t="s">
        <v>435</v>
      </c>
      <c r="B5" s="94">
        <v>203.0</v>
      </c>
      <c r="C5" s="95" t="s">
        <v>18</v>
      </c>
      <c r="D5" s="86"/>
      <c r="E5" s="91" t="s">
        <v>445</v>
      </c>
      <c r="F5" s="91">
        <v>0.0</v>
      </c>
      <c r="G5" s="91">
        <v>-150.0</v>
      </c>
      <c r="H5" s="92"/>
      <c r="I5" s="92"/>
    </row>
    <row r="6" ht="15.75" customHeight="1">
      <c r="A6" s="89" t="s">
        <v>35</v>
      </c>
      <c r="B6" s="89">
        <v>2000.0</v>
      </c>
      <c r="C6" s="89" t="s">
        <v>89</v>
      </c>
      <c r="D6" s="86"/>
      <c r="E6" s="92" t="s">
        <v>446</v>
      </c>
      <c r="F6" s="92">
        <f>F5*COS(10*PI()/180)-G5*SIN(10*PI()/180)</f>
        <v>26.04722665</v>
      </c>
      <c r="G6" s="92">
        <f>F5*SIN(10*PI()/180)+G5*COS(10*PI()/180)</f>
        <v>-147.721163</v>
      </c>
      <c r="H6" s="92"/>
      <c r="I6" s="92"/>
    </row>
    <row r="7" ht="15.75" customHeight="1">
      <c r="A7" s="89" t="s">
        <v>35</v>
      </c>
      <c r="B7" s="89">
        <f>B6*4.44822</f>
        <v>8896.44</v>
      </c>
      <c r="C7" s="89" t="s">
        <v>36</v>
      </c>
      <c r="D7" s="86"/>
      <c r="E7" s="92" t="s">
        <v>449</v>
      </c>
      <c r="F7" s="92">
        <f>F4*COS(10*PI()/180)-G4*SIN(10*PI()/180)</f>
        <v>99.90780813</v>
      </c>
      <c r="G7" s="92">
        <f>F4*SIN(10*PI()/180)+G4*COS(10*PI()/180)</f>
        <v>-134.6975496</v>
      </c>
      <c r="H7" s="92"/>
      <c r="I7" s="92"/>
    </row>
    <row r="8" ht="15.75" customHeight="1">
      <c r="A8" s="89" t="s">
        <v>39</v>
      </c>
      <c r="B8" s="89">
        <v>20.0</v>
      </c>
      <c r="C8" s="89" t="s">
        <v>91</v>
      </c>
      <c r="D8" s="86"/>
      <c r="E8" s="92" t="s">
        <v>451</v>
      </c>
      <c r="F8" s="92">
        <f t="shared" ref="F8:G8" si="1">F7-F2</f>
        <v>-1.592191874</v>
      </c>
      <c r="G8" s="92">
        <f t="shared" si="1"/>
        <v>-234.6975496</v>
      </c>
      <c r="H8" s="92" t="s">
        <v>452</v>
      </c>
      <c r="I8" s="92">
        <f t="shared" ref="I8:I9" si="3">SQRT(F8^2 + G8^2)</f>
        <v>234.7029503</v>
      </c>
    </row>
    <row r="9" ht="15.75" customHeight="1">
      <c r="A9" s="89" t="s">
        <v>39</v>
      </c>
      <c r="B9" s="89">
        <f>B8*0.453592</f>
        <v>9.07184</v>
      </c>
      <c r="C9" s="89" t="s">
        <v>43</v>
      </c>
      <c r="D9" s="86"/>
      <c r="E9" s="92" t="s">
        <v>453</v>
      </c>
      <c r="F9" s="92">
        <f t="shared" ref="F9:G9" si="2">F4-F2</f>
        <v>-26.5</v>
      </c>
      <c r="G9" s="92">
        <f t="shared" si="2"/>
        <v>-250</v>
      </c>
      <c r="H9" s="92" t="s">
        <v>452</v>
      </c>
      <c r="I9" s="92">
        <f t="shared" si="3"/>
        <v>251.4005768</v>
      </c>
    </row>
    <row r="10" ht="15.75" customHeight="1">
      <c r="A10" s="96" t="s">
        <v>454</v>
      </c>
      <c r="B10" s="96">
        <v>150.0</v>
      </c>
      <c r="C10" s="96" t="s">
        <v>18</v>
      </c>
      <c r="D10" s="86"/>
      <c r="E10" s="92" t="s">
        <v>455</v>
      </c>
      <c r="F10" s="92">
        <f>F5*COS(-10*PI()/180)-G5*SIN(-10*PI()/180)</f>
        <v>-26.04722665</v>
      </c>
      <c r="G10" s="92">
        <f>F5*SIN(-10*PI()/180)+G5*COS(-10*PI()/180)</f>
        <v>-147.721163</v>
      </c>
      <c r="H10" s="92"/>
      <c r="I10" s="92"/>
    </row>
    <row r="11" ht="15.75" customHeight="1">
      <c r="A11" s="96" t="s">
        <v>93</v>
      </c>
      <c r="B11" s="96">
        <v>250.0</v>
      </c>
      <c r="C11" s="96" t="s">
        <v>18</v>
      </c>
      <c r="D11" s="86"/>
      <c r="E11" s="92" t="s">
        <v>457</v>
      </c>
      <c r="F11" s="92">
        <f>F4*COS(-10*PI()/180)-G4*SIN(-10*PI()/180)</f>
        <v>47.81335483</v>
      </c>
      <c r="G11" s="92">
        <f>F4*SIN(-10*PI()/180)+G4*COS(-10*PI()/180)</f>
        <v>-160.7447763</v>
      </c>
      <c r="H11" s="92"/>
      <c r="I11" s="92"/>
    </row>
    <row r="12" ht="15.75" customHeight="1">
      <c r="A12" s="96" t="s">
        <v>94</v>
      </c>
      <c r="B12" s="96">
        <v>350.0</v>
      </c>
      <c r="C12" s="96" t="s">
        <v>18</v>
      </c>
      <c r="D12" s="86"/>
      <c r="E12" s="97" t="s">
        <v>458</v>
      </c>
      <c r="F12" s="97">
        <f t="shared" ref="F12:G12" si="4">F11-F2</f>
        <v>-53.68664517</v>
      </c>
      <c r="G12" s="97">
        <f t="shared" si="4"/>
        <v>-260.7447763</v>
      </c>
      <c r="H12" s="97" t="s">
        <v>452</v>
      </c>
      <c r="I12" s="97">
        <f>SQRT(F12^2 + G12^2)</f>
        <v>266.2143764</v>
      </c>
    </row>
    <row r="13" ht="15.75" customHeight="1">
      <c r="A13" s="89" t="s">
        <v>459</v>
      </c>
      <c r="B13" s="89">
        <v>12.7</v>
      </c>
      <c r="C13" s="89" t="s">
        <v>18</v>
      </c>
      <c r="D13" s="86"/>
      <c r="E13" s="88"/>
      <c r="F13" s="86"/>
      <c r="G13" s="86"/>
      <c r="H13" s="86"/>
      <c r="I13" s="90"/>
    </row>
    <row r="14" ht="15.75" customHeight="1">
      <c r="A14" s="89" t="s">
        <v>460</v>
      </c>
      <c r="B14" s="89">
        <v>0.15</v>
      </c>
      <c r="C14" s="86"/>
      <c r="D14" s="86"/>
      <c r="E14" s="93"/>
      <c r="F14" s="94"/>
      <c r="G14" s="94"/>
      <c r="H14" s="94" t="s">
        <v>461</v>
      </c>
      <c r="I14" s="95">
        <f>MAX(ABS(I9-I8),ABS(I12-I9))</f>
        <v>16.69762648</v>
      </c>
    </row>
    <row r="15" ht="15.75" customHeight="1">
      <c r="A15" s="89" t="s">
        <v>463</v>
      </c>
      <c r="B15" s="89">
        <v>5.0</v>
      </c>
      <c r="C15" s="89" t="s">
        <v>98</v>
      </c>
      <c r="D15" s="86"/>
      <c r="E15" s="86"/>
      <c r="F15" s="86"/>
      <c r="G15" s="86"/>
      <c r="H15" s="86"/>
      <c r="I15" s="86"/>
    </row>
    <row r="16" ht="15.75" customHeight="1">
      <c r="A16" s="89" t="s">
        <v>464</v>
      </c>
      <c r="B16" s="89">
        <v>10.0</v>
      </c>
      <c r="C16" s="89" t="s">
        <v>54</v>
      </c>
      <c r="D16" s="87"/>
      <c r="E16" s="87" t="s">
        <v>465</v>
      </c>
      <c r="F16" s="87">
        <f>I14*2</f>
        <v>33.39525295</v>
      </c>
      <c r="G16" s="87" t="s">
        <v>208</v>
      </c>
      <c r="H16" s="86"/>
      <c r="I16" s="86"/>
    </row>
    <row r="17" ht="15.75" customHeight="1">
      <c r="A17" s="89" t="s">
        <v>466</v>
      </c>
      <c r="B17" s="89">
        <v>30.0</v>
      </c>
      <c r="C17" s="89" t="s">
        <v>87</v>
      </c>
      <c r="D17" s="98"/>
      <c r="E17" s="88" t="s">
        <v>467</v>
      </c>
      <c r="F17" s="89">
        <f>F2*G4 - G2*F4</f>
        <v>-22725</v>
      </c>
      <c r="G17" s="90" t="s">
        <v>18</v>
      </c>
      <c r="H17" s="86"/>
      <c r="I17" s="86"/>
    </row>
    <row r="18" ht="15.75" customHeight="1">
      <c r="A18" s="89" t="s">
        <v>468</v>
      </c>
      <c r="B18" s="89">
        <v>1.5</v>
      </c>
      <c r="C18" s="89" t="s">
        <v>18</v>
      </c>
      <c r="D18" s="98"/>
      <c r="E18" s="88" t="s">
        <v>469</v>
      </c>
      <c r="F18" s="89">
        <f>I9</f>
        <v>251.4005768</v>
      </c>
      <c r="G18" s="90" t="s">
        <v>68</v>
      </c>
      <c r="H18" s="86"/>
      <c r="I18" s="86"/>
    </row>
    <row r="19" ht="15.75" customHeight="1">
      <c r="A19" s="89" t="s">
        <v>470</v>
      </c>
      <c r="B19" s="89">
        <v>0.5</v>
      </c>
      <c r="C19" s="89" t="s">
        <v>54</v>
      </c>
      <c r="D19" s="98">
        <v>0.0</v>
      </c>
      <c r="E19" s="88" t="s">
        <v>471</v>
      </c>
      <c r="F19" s="89">
        <f>F17/F18</f>
        <v>-90.39358737</v>
      </c>
      <c r="G19" s="90" t="s">
        <v>221</v>
      </c>
      <c r="H19" s="86"/>
      <c r="I19" s="86"/>
    </row>
    <row r="20" ht="15.75" customHeight="1">
      <c r="A20" s="89" t="s">
        <v>472</v>
      </c>
      <c r="B20" s="89">
        <v>0.1</v>
      </c>
      <c r="C20" s="89" t="s">
        <v>473</v>
      </c>
      <c r="D20" s="98"/>
      <c r="E20" s="88" t="s">
        <v>474</v>
      </c>
      <c r="F20" s="89">
        <f>F2*F4+G2*G4</f>
        <v>-7387.5</v>
      </c>
      <c r="G20" s="90"/>
      <c r="H20" s="86"/>
      <c r="I20" s="86"/>
    </row>
    <row r="21" ht="15.75" customHeight="1">
      <c r="A21" s="89" t="s">
        <v>475</v>
      </c>
      <c r="B21" s="89">
        <v>50.0</v>
      </c>
      <c r="C21" s="89" t="s">
        <v>66</v>
      </c>
      <c r="D21" s="98"/>
      <c r="E21" s="88" t="s">
        <v>476</v>
      </c>
      <c r="F21" s="89">
        <f>(F20-(F19^2))/I9</f>
        <v>-61.88729094</v>
      </c>
      <c r="G21" s="90" t="s">
        <v>478</v>
      </c>
      <c r="H21" s="86"/>
      <c r="I21" s="86"/>
    </row>
    <row r="22" ht="15.75" customHeight="1">
      <c r="A22" s="89" t="s">
        <v>479</v>
      </c>
      <c r="B22" s="89">
        <v>1.5</v>
      </c>
      <c r="C22" s="86"/>
      <c r="D22" s="99"/>
      <c r="E22" s="93" t="s">
        <v>480</v>
      </c>
      <c r="F22" s="94">
        <f>F19*B4*PI()/180 + F21*((B3*PI()/180)^2)</f>
        <v>-54.87075042</v>
      </c>
      <c r="G22" s="95" t="s">
        <v>481</v>
      </c>
      <c r="H22" s="86"/>
      <c r="I22" s="86"/>
    </row>
    <row r="23" ht="15.75" customHeight="1">
      <c r="A23" s="89" t="s">
        <v>482</v>
      </c>
      <c r="B23" s="89">
        <f>F31</f>
        <v>-79.24789997</v>
      </c>
      <c r="C23" s="89" t="s">
        <v>221</v>
      </c>
      <c r="D23" s="100"/>
      <c r="E23" s="101" t="s">
        <v>467</v>
      </c>
      <c r="F23" s="102">
        <f>F2*G7 - G2*F7</f>
        <v>-23662.5821</v>
      </c>
      <c r="G23" s="103" t="s">
        <v>18</v>
      </c>
      <c r="H23" s="86"/>
      <c r="I23" s="86"/>
    </row>
    <row r="24" ht="15.75" customHeight="1">
      <c r="A24" s="89" t="s">
        <v>483</v>
      </c>
      <c r="B24" s="89">
        <f>F19</f>
        <v>-90.39358737</v>
      </c>
      <c r="C24" s="89" t="s">
        <v>221</v>
      </c>
      <c r="D24" s="98"/>
      <c r="E24" s="88" t="s">
        <v>469</v>
      </c>
      <c r="F24" s="89">
        <f>I8</f>
        <v>234.7029503</v>
      </c>
      <c r="G24" s="90" t="s">
        <v>68</v>
      </c>
      <c r="H24" s="86"/>
      <c r="I24" s="86"/>
    </row>
    <row r="25" ht="15.75" customHeight="1">
      <c r="A25" s="86"/>
      <c r="B25" s="86"/>
      <c r="C25" s="86"/>
      <c r="D25" s="98">
        <v>10.0</v>
      </c>
      <c r="E25" s="88" t="s">
        <v>471</v>
      </c>
      <c r="F25" s="89">
        <f>F23/F24</f>
        <v>-100.8192785</v>
      </c>
      <c r="G25" s="90" t="s">
        <v>221</v>
      </c>
      <c r="H25" s="86"/>
      <c r="I25" s="86"/>
    </row>
    <row r="26" ht="15.75" customHeight="1">
      <c r="A26" s="89" t="s">
        <v>484</v>
      </c>
      <c r="B26" s="86"/>
      <c r="C26" s="86"/>
      <c r="D26" s="98"/>
      <c r="E26" s="88" t="s">
        <v>474</v>
      </c>
      <c r="F26" s="89">
        <f>F7*F2+G7*G2</f>
        <v>-3329.112438</v>
      </c>
      <c r="G26" s="90"/>
      <c r="H26" s="86"/>
      <c r="I26" s="86"/>
    </row>
    <row r="27" ht="15.75" customHeight="1">
      <c r="A27" s="89" t="s">
        <v>486</v>
      </c>
      <c r="B27" s="89">
        <f>B9*(B10/1000)^2+B9*(B12/1000)^2/12</f>
        <v>0.2967247667</v>
      </c>
      <c r="C27" s="89" t="s">
        <v>52</v>
      </c>
      <c r="D27" s="98"/>
      <c r="E27" s="88" t="s">
        <v>476</v>
      </c>
      <c r="F27" s="89">
        <f>(F26-(F25^2))/I8</f>
        <v>-57.49241469</v>
      </c>
      <c r="G27" s="90" t="s">
        <v>478</v>
      </c>
      <c r="H27" s="86"/>
      <c r="I27" s="86"/>
    </row>
    <row r="28" ht="15.75" customHeight="1">
      <c r="A28" s="89" t="s">
        <v>489</v>
      </c>
      <c r="B28" s="89">
        <f>B27*RADIANS(B17)</f>
        <v>0.1553647245</v>
      </c>
      <c r="C28" s="89" t="s">
        <v>66</v>
      </c>
      <c r="D28" s="99"/>
      <c r="E28" s="93" t="s">
        <v>480</v>
      </c>
      <c r="F28" s="94">
        <f>F25*B4*PI()/180 + F27*((B3*PI()/180)^2)</f>
        <v>-59.79412716</v>
      </c>
      <c r="G28" s="95" t="s">
        <v>481</v>
      </c>
      <c r="H28" s="86"/>
      <c r="I28" s="86"/>
    </row>
    <row r="29" ht="15.75" customHeight="1">
      <c r="A29" s="89" t="s">
        <v>490</v>
      </c>
      <c r="B29" s="89">
        <f>B9*B15*9.81*(B10/1000)*SIN(RADIANS(B16))</f>
        <v>11.59033217</v>
      </c>
      <c r="C29" s="89" t="s">
        <v>66</v>
      </c>
      <c r="D29" s="100"/>
      <c r="E29" s="101" t="s">
        <v>467</v>
      </c>
      <c r="F29" s="102">
        <f>F2*G11 - G2*F11</f>
        <v>-21096.93027</v>
      </c>
      <c r="G29" s="103" t="s">
        <v>18</v>
      </c>
      <c r="H29" s="86"/>
      <c r="I29" s="86"/>
    </row>
    <row r="30" ht="15.75" customHeight="1">
      <c r="A30" s="89" t="s">
        <v>491</v>
      </c>
      <c r="B30" s="89">
        <f>B14*B7*(B13/1000)</f>
        <v>16.9477182</v>
      </c>
      <c r="C30" s="89" t="s">
        <v>66</v>
      </c>
      <c r="D30" s="98"/>
      <c r="E30" s="88" t="s">
        <v>469</v>
      </c>
      <c r="F30" s="89">
        <f>I12</f>
        <v>266.2143764</v>
      </c>
      <c r="G30" s="90" t="s">
        <v>68</v>
      </c>
      <c r="H30" s="86"/>
      <c r="I30" s="86"/>
    </row>
    <row r="31" ht="15.75" customHeight="1">
      <c r="A31" s="89" t="s">
        <v>492</v>
      </c>
      <c r="B31" s="89">
        <f>B7*B18/1000</f>
        <v>13.34466</v>
      </c>
      <c r="C31" s="89" t="s">
        <v>66</v>
      </c>
      <c r="D31" s="98">
        <v>-10.0</v>
      </c>
      <c r="E31" s="88" t="s">
        <v>471</v>
      </c>
      <c r="F31" s="89">
        <f>F29/F30</f>
        <v>-79.24789997</v>
      </c>
      <c r="G31" s="90" t="s">
        <v>221</v>
      </c>
      <c r="H31" s="86"/>
      <c r="I31" s="86"/>
    </row>
    <row r="32" ht="15.75" customHeight="1">
      <c r="A32" s="89" t="s">
        <v>493</v>
      </c>
      <c r="B32" s="89">
        <f>B7*SIN(RADIANS(B19))*B11/1000</f>
        <v>19.40877487</v>
      </c>
      <c r="C32" s="89" t="s">
        <v>66</v>
      </c>
      <c r="D32" s="98"/>
      <c r="E32" s="88" t="s">
        <v>474</v>
      </c>
      <c r="F32" s="89">
        <f>F11*F2+G11*G2</f>
        <v>-11221.42211</v>
      </c>
      <c r="G32" s="90"/>
      <c r="H32" s="86"/>
      <c r="I32" s="86"/>
    </row>
    <row r="33" ht="15.75" customHeight="1">
      <c r="A33" s="89" t="s">
        <v>494</v>
      </c>
      <c r="B33" s="89">
        <f>B21</f>
        <v>50</v>
      </c>
      <c r="C33" s="89" t="s">
        <v>66</v>
      </c>
      <c r="D33" s="98"/>
      <c r="E33" s="88" t="s">
        <v>476</v>
      </c>
      <c r="F33" s="89">
        <f>(F32-(F31^2))/F30</f>
        <v>-65.74269953</v>
      </c>
      <c r="G33" s="90" t="s">
        <v>478</v>
      </c>
      <c r="H33" s="86"/>
      <c r="I33" s="86"/>
    </row>
    <row r="34" ht="15.75" customHeight="1">
      <c r="A34" s="89" t="s">
        <v>95</v>
      </c>
      <c r="B34" s="89">
        <f>SUM(B28:B33)</f>
        <v>111.44685</v>
      </c>
      <c r="C34" s="89" t="s">
        <v>66</v>
      </c>
      <c r="D34" s="99"/>
      <c r="E34" s="93" t="s">
        <v>480</v>
      </c>
      <c r="F34" s="94">
        <f>F31*B4*PI()/180 + F33*((B3*PI()/180)^2)</f>
        <v>-49.50465199</v>
      </c>
      <c r="G34" s="95" t="s">
        <v>481</v>
      </c>
      <c r="H34" s="86"/>
      <c r="I34" s="86"/>
    </row>
    <row r="35" ht="15.75" customHeight="1">
      <c r="A35" s="89" t="s">
        <v>495</v>
      </c>
      <c r="B35" s="89">
        <f>B20*B7*B12/1000</f>
        <v>311.3754</v>
      </c>
      <c r="C35" s="89" t="s">
        <v>66</v>
      </c>
      <c r="D35" s="101"/>
      <c r="E35" s="102"/>
      <c r="F35" s="102"/>
      <c r="G35" s="103"/>
      <c r="H35" s="86"/>
      <c r="I35" s="86"/>
    </row>
    <row r="36" ht="15.75" customHeight="1">
      <c r="A36" s="89" t="s">
        <v>177</v>
      </c>
      <c r="B36" s="89">
        <f>B35+B31+B32</f>
        <v>344.1288349</v>
      </c>
      <c r="C36" s="89" t="s">
        <v>66</v>
      </c>
      <c r="D36" s="99"/>
      <c r="E36" s="104" t="s">
        <v>496</v>
      </c>
      <c r="F36" s="104">
        <f>MAX(ABS(F22),ABS(F28),ABS(F34))</f>
        <v>59.79412716</v>
      </c>
      <c r="G36" s="105" t="s">
        <v>258</v>
      </c>
      <c r="H36" s="86"/>
      <c r="I36" s="86"/>
    </row>
    <row r="37" ht="15.75" customHeight="1">
      <c r="A37" s="86"/>
      <c r="B37" s="86"/>
      <c r="C37" s="86"/>
      <c r="D37" s="86"/>
      <c r="E37" s="86"/>
      <c r="F37" s="86"/>
      <c r="G37" s="86"/>
      <c r="H37" s="86"/>
      <c r="I37" s="86"/>
    </row>
    <row r="38" ht="15.75" customHeight="1">
      <c r="A38" s="89" t="s">
        <v>497</v>
      </c>
      <c r="B38" s="86"/>
      <c r="C38" s="86"/>
      <c r="D38" s="86"/>
      <c r="E38" s="86"/>
      <c r="F38" s="89"/>
      <c r="G38" s="86"/>
      <c r="H38" s="86"/>
      <c r="I38" s="86"/>
    </row>
    <row r="39" ht="15.75" customHeight="1">
      <c r="A39" s="89" t="s">
        <v>130</v>
      </c>
      <c r="B39" s="89">
        <f>B34/(ABS(B23)/1000)</f>
        <v>1406.306666</v>
      </c>
      <c r="C39" s="89" t="s">
        <v>36</v>
      </c>
      <c r="D39" s="86"/>
      <c r="E39" s="86"/>
      <c r="F39" s="86"/>
      <c r="G39" s="86"/>
      <c r="H39" s="86"/>
      <c r="I39" s="86"/>
    </row>
    <row r="40" ht="15.75" customHeight="1">
      <c r="A40" s="89" t="s">
        <v>498</v>
      </c>
      <c r="B40" s="89">
        <f>B39*B22</f>
        <v>2109.459998</v>
      </c>
      <c r="C40" s="89" t="s">
        <v>36</v>
      </c>
      <c r="D40" s="86"/>
      <c r="E40" s="86"/>
      <c r="F40" s="86"/>
      <c r="G40" s="86"/>
      <c r="H40" s="86"/>
      <c r="I40" s="86"/>
    </row>
    <row r="41" ht="15.75" customHeight="1">
      <c r="A41" s="89" t="s">
        <v>498</v>
      </c>
      <c r="B41" s="89">
        <f>B40/4.44822</f>
        <v>474.225645</v>
      </c>
      <c r="C41" s="89" t="s">
        <v>89</v>
      </c>
      <c r="D41" s="106" t="s">
        <v>499</v>
      </c>
      <c r="E41" s="106">
        <f>MAX(B43,B40)</f>
        <v>5710.50743</v>
      </c>
      <c r="F41" s="89" t="s">
        <v>500</v>
      </c>
      <c r="G41" s="86"/>
      <c r="H41" s="86"/>
      <c r="I41" s="86"/>
    </row>
    <row r="42" ht="15.75" customHeight="1">
      <c r="A42" s="89" t="s">
        <v>190</v>
      </c>
      <c r="B42" s="89">
        <f>B36/(ABS(B24)/1000)</f>
        <v>3807.004954</v>
      </c>
      <c r="C42" s="89" t="s">
        <v>36</v>
      </c>
      <c r="D42" s="86"/>
      <c r="E42" s="86"/>
      <c r="F42" s="86"/>
      <c r="G42" s="86"/>
      <c r="H42" s="86"/>
      <c r="I42" s="86"/>
    </row>
    <row r="43" ht="15.75" customHeight="1">
      <c r="A43" s="89" t="s">
        <v>501</v>
      </c>
      <c r="B43" s="89">
        <f>B42*B22</f>
        <v>5710.50743</v>
      </c>
      <c r="C43" s="89" t="s">
        <v>36</v>
      </c>
      <c r="D43" s="86"/>
      <c r="E43" s="86"/>
      <c r="F43" s="86"/>
      <c r="G43" s="86"/>
      <c r="H43" s="86"/>
      <c r="I43" s="86"/>
    </row>
    <row r="44" ht="15.75" customHeight="1">
      <c r="A44" s="89" t="s">
        <v>501</v>
      </c>
      <c r="B44" s="89">
        <f>B43/4.44822</f>
        <v>1283.773606</v>
      </c>
      <c r="C44" s="89" t="s">
        <v>89</v>
      </c>
      <c r="D44" s="86"/>
      <c r="E44" s="86"/>
      <c r="F44" s="86"/>
      <c r="G44" s="86"/>
      <c r="H44" s="86"/>
      <c r="I44" s="86"/>
    </row>
    <row r="45" ht="15.75" customHeight="1">
      <c r="A45" s="86"/>
      <c r="B45" s="86"/>
      <c r="C45" s="86"/>
      <c r="D45" s="86"/>
      <c r="E45" s="86"/>
      <c r="F45" s="86"/>
      <c r="G45" s="86"/>
      <c r="H45" s="86"/>
      <c r="I45" s="86"/>
    </row>
    <row r="46" ht="15.75" customHeight="1">
      <c r="A46" s="89" t="s">
        <v>502</v>
      </c>
      <c r="B46" s="89">
        <f>B43</f>
        <v>5710.50743</v>
      </c>
      <c r="C46" s="86"/>
      <c r="D46" s="86"/>
      <c r="E46" s="86"/>
      <c r="F46" s="86"/>
      <c r="G46" s="86"/>
      <c r="H46" s="86"/>
      <c r="I46" s="86"/>
    </row>
    <row r="47" ht="15.75" customHeight="1">
      <c r="A47" s="89" t="s">
        <v>503</v>
      </c>
      <c r="B47" s="89">
        <f>B22</f>
        <v>1.5</v>
      </c>
      <c r="C47" s="86"/>
      <c r="D47" s="86"/>
      <c r="E47" s="86"/>
      <c r="F47" s="86"/>
      <c r="G47" s="86"/>
      <c r="H47" s="86"/>
      <c r="I47" s="86"/>
    </row>
    <row r="48" ht="15.75" customHeight="1">
      <c r="A48" s="89" t="s">
        <v>504</v>
      </c>
      <c r="B48" s="89">
        <f>B47*B46</f>
        <v>8565.761145</v>
      </c>
      <c r="C48" s="89" t="s">
        <v>36</v>
      </c>
      <c r="D48" s="89" t="s">
        <v>505</v>
      </c>
      <c r="E48" s="89" t="s">
        <v>506</v>
      </c>
      <c r="F48" s="89" t="s">
        <v>507</v>
      </c>
      <c r="G48" s="89" t="s">
        <v>508</v>
      </c>
      <c r="H48" s="86"/>
      <c r="I48" s="86"/>
    </row>
    <row r="49" ht="15.75" customHeight="1">
      <c r="A49" s="89" t="s">
        <v>509</v>
      </c>
      <c r="B49" s="86"/>
      <c r="C49" s="86"/>
      <c r="D49" s="89" t="s">
        <v>510</v>
      </c>
      <c r="E49" s="107" t="s">
        <v>511</v>
      </c>
      <c r="F49" s="89" t="s">
        <v>512</v>
      </c>
      <c r="G49" s="89"/>
      <c r="H49" s="86"/>
      <c r="I49" s="86"/>
    </row>
    <row r="50" ht="15.75" customHeight="1">
      <c r="A50" s="89" t="s">
        <v>513</v>
      </c>
      <c r="B50" s="86"/>
      <c r="C50" s="86"/>
      <c r="D50" s="89" t="s">
        <v>514</v>
      </c>
      <c r="E50" s="86"/>
      <c r="F50" s="86"/>
      <c r="G50" s="86"/>
      <c r="H50" s="86"/>
      <c r="I50" s="86"/>
    </row>
    <row r="51" ht="15.75" customHeight="1">
      <c r="A51" s="89" t="s">
        <v>515</v>
      </c>
      <c r="B51" s="86"/>
      <c r="C51" s="86"/>
      <c r="D51" s="89" t="s">
        <v>516</v>
      </c>
      <c r="E51" s="86"/>
      <c r="F51" s="86"/>
      <c r="G51" s="86"/>
      <c r="H51" s="86"/>
      <c r="I51" s="86"/>
    </row>
    <row r="52" ht="15.75" customHeight="1">
      <c r="A52" s="89" t="s">
        <v>517</v>
      </c>
      <c r="B52" s="86"/>
      <c r="C52" s="86"/>
      <c r="D52" s="86"/>
      <c r="E52" s="86"/>
      <c r="F52" s="86"/>
      <c r="G52" s="86"/>
      <c r="H52" s="86"/>
      <c r="I52" s="8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49"/>
  </hyperlinks>
  <printOptions/>
  <pageMargins bottom="1.0" footer="0.0" header="0.0" left="0.75" right="0.75" top="1.0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2026-09-23T05:07:24Z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